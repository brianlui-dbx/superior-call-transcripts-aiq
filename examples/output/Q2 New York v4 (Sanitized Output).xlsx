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uperiorplus.sharepoint.com/sites/OpPerformanceTransformation/Shared Documents/02 Analysis/2. Commercial/A. Marketing/2026.07.06 - Q2 Sales Analysis/USA/New York/"/>
    </mc:Choice>
  </mc:AlternateContent>
  <xr:revisionPtr revIDLastSave="5" documentId="8_{0FC7A346-C1A3-48D5-891D-D2F18408A14F}" xr6:coauthVersionLast="47" xr6:coauthVersionMax="47" xr10:uidLastSave="{DA7F8BCF-477A-4323-9971-A5136DDBC5BD}"/>
  <bookViews>
    <workbookView xWindow="-103" yWindow="-103" windowWidth="22149" windowHeight="13200" activeTab="1" xr2:uid="{ED89E99B-CDCD-4047-8B55-7C8E44C92A6C}"/>
  </bookViews>
  <sheets>
    <sheet name="Pivot Summary" sheetId="40" r:id="rId1"/>
    <sheet name="AI Output" sheetId="37" r:id="rId2"/>
    <sheet name="Backup-&gt;" sheetId="20" r:id="rId3"/>
    <sheet name="Code Catagories" sheetId="19" r:id="rId4"/>
  </sheets>
  <definedNames>
    <definedName name="_xlnm._FilterDatabase" localSheetId="1" hidden="1">'AI Output'!$B$1:$N$580</definedName>
    <definedName name="_xlnm._FilterDatabase" localSheetId="3" hidden="1">'Code Catagories'!$A$1:$D$7</definedName>
  </definedNames>
  <calcPr calcId="191028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64" i="37" l="1"/>
  <c r="N565" i="37"/>
  <c r="N566" i="37"/>
  <c r="N567" i="37"/>
  <c r="N568" i="37"/>
  <c r="N569" i="37"/>
  <c r="N570" i="37"/>
  <c r="N571" i="37"/>
  <c r="N572" i="37"/>
  <c r="N573" i="37"/>
  <c r="N574" i="37"/>
  <c r="N575" i="37"/>
  <c r="N576" i="37"/>
  <c r="N577" i="37"/>
  <c r="N578" i="37"/>
  <c r="N579" i="37"/>
  <c r="N580" i="37"/>
  <c r="M564" i="37"/>
  <c r="G564" i="37" s="1"/>
  <c r="M565" i="37"/>
  <c r="G565" i="37" s="1"/>
  <c r="M566" i="37"/>
  <c r="G566" i="37" s="1"/>
  <c r="M567" i="37"/>
  <c r="G567" i="37" s="1"/>
  <c r="M568" i="37"/>
  <c r="G568" i="37" s="1"/>
  <c r="M569" i="37"/>
  <c r="G569" i="37" s="1"/>
  <c r="M570" i="37"/>
  <c r="G570" i="37" s="1"/>
  <c r="M571" i="37"/>
  <c r="G571" i="37" s="1"/>
  <c r="M572" i="37"/>
  <c r="G572" i="37" s="1"/>
  <c r="M573" i="37"/>
  <c r="G573" i="37" s="1"/>
  <c r="M574" i="37"/>
  <c r="G574" i="37" s="1"/>
  <c r="M575" i="37"/>
  <c r="G575" i="37" s="1"/>
  <c r="M576" i="37"/>
  <c r="G576" i="37" s="1"/>
  <c r="M577" i="37"/>
  <c r="G577" i="37" s="1"/>
  <c r="M578" i="37"/>
  <c r="G578" i="37" s="1"/>
  <c r="M579" i="37"/>
  <c r="G579" i="37" s="1"/>
  <c r="M580" i="37"/>
  <c r="G580" i="37" s="1"/>
  <c r="I2" i="40" l="1"/>
  <c r="G2" i="40"/>
  <c r="E2" i="40"/>
  <c r="M557" i="37"/>
  <c r="G557" i="37" s="1"/>
  <c r="N557" i="37"/>
  <c r="M558" i="37"/>
  <c r="G558" i="37" s="1"/>
  <c r="N558" i="37"/>
  <c r="M559" i="37"/>
  <c r="G559" i="37" s="1"/>
  <c r="N559" i="37"/>
  <c r="M560" i="37"/>
  <c r="G560" i="37" s="1"/>
  <c r="N560" i="37"/>
  <c r="M561" i="37"/>
  <c r="G561" i="37" s="1"/>
  <c r="N561" i="37"/>
  <c r="M562" i="37"/>
  <c r="G562" i="37" s="1"/>
  <c r="N562" i="37"/>
  <c r="M563" i="37"/>
  <c r="G563" i="37" s="1"/>
  <c r="N563" i="37"/>
  <c r="M549" i="37"/>
  <c r="G549" i="37" s="1"/>
  <c r="N549" i="37"/>
  <c r="M550" i="37"/>
  <c r="G550" i="37" s="1"/>
  <c r="N550" i="37"/>
  <c r="M551" i="37"/>
  <c r="G551" i="37" s="1"/>
  <c r="N551" i="37"/>
  <c r="M552" i="37"/>
  <c r="G552" i="37" s="1"/>
  <c r="N552" i="37"/>
  <c r="M553" i="37"/>
  <c r="G553" i="37" s="1"/>
  <c r="N553" i="37"/>
  <c r="M554" i="37"/>
  <c r="G554" i="37" s="1"/>
  <c r="N554" i="37"/>
  <c r="M555" i="37"/>
  <c r="G555" i="37" s="1"/>
  <c r="N555" i="37"/>
  <c r="M556" i="37"/>
  <c r="G556" i="37" s="1"/>
  <c r="N556" i="37"/>
  <c r="M541" i="37"/>
  <c r="G541" i="37" s="1"/>
  <c r="N541" i="37"/>
  <c r="M542" i="37"/>
  <c r="G542" i="37" s="1"/>
  <c r="N542" i="37"/>
  <c r="M543" i="37"/>
  <c r="G543" i="37" s="1"/>
  <c r="N543" i="37"/>
  <c r="M544" i="37"/>
  <c r="G544" i="37" s="1"/>
  <c r="N544" i="37"/>
  <c r="M545" i="37"/>
  <c r="G545" i="37" s="1"/>
  <c r="N545" i="37"/>
  <c r="M546" i="37"/>
  <c r="G546" i="37" s="1"/>
  <c r="N546" i="37"/>
  <c r="M547" i="37"/>
  <c r="G547" i="37" s="1"/>
  <c r="N547" i="37"/>
  <c r="M548" i="37"/>
  <c r="G548" i="37" s="1"/>
  <c r="N548" i="37"/>
  <c r="M530" i="37"/>
  <c r="G530" i="37" s="1"/>
  <c r="N530" i="37"/>
  <c r="M531" i="37"/>
  <c r="G531" i="37" s="1"/>
  <c r="N531" i="37"/>
  <c r="M532" i="37"/>
  <c r="G532" i="37" s="1"/>
  <c r="N532" i="37"/>
  <c r="M533" i="37"/>
  <c r="G533" i="37" s="1"/>
  <c r="N533" i="37"/>
  <c r="M534" i="37"/>
  <c r="G534" i="37" s="1"/>
  <c r="N534" i="37"/>
  <c r="M535" i="37"/>
  <c r="G535" i="37" s="1"/>
  <c r="N535" i="37"/>
  <c r="M536" i="37"/>
  <c r="G536" i="37" s="1"/>
  <c r="N536" i="37"/>
  <c r="M537" i="37"/>
  <c r="G537" i="37" s="1"/>
  <c r="N537" i="37"/>
  <c r="M538" i="37"/>
  <c r="G538" i="37" s="1"/>
  <c r="N538" i="37"/>
  <c r="M539" i="37"/>
  <c r="G539" i="37" s="1"/>
  <c r="N539" i="37"/>
  <c r="M540" i="37"/>
  <c r="G540" i="37" s="1"/>
  <c r="N540" i="37"/>
  <c r="M521" i="37"/>
  <c r="G521" i="37" s="1"/>
  <c r="N521" i="37"/>
  <c r="M522" i="37"/>
  <c r="G522" i="37" s="1"/>
  <c r="N522" i="37"/>
  <c r="M523" i="37"/>
  <c r="G523" i="37" s="1"/>
  <c r="N523" i="37"/>
  <c r="M524" i="37"/>
  <c r="G524" i="37" s="1"/>
  <c r="N524" i="37"/>
  <c r="M525" i="37"/>
  <c r="G525" i="37" s="1"/>
  <c r="N525" i="37"/>
  <c r="M526" i="37"/>
  <c r="G526" i="37" s="1"/>
  <c r="N526" i="37"/>
  <c r="M527" i="37"/>
  <c r="G527" i="37" s="1"/>
  <c r="N527" i="37"/>
  <c r="M528" i="37"/>
  <c r="G528" i="37" s="1"/>
  <c r="N528" i="37"/>
  <c r="M529" i="37"/>
  <c r="G529" i="37" s="1"/>
  <c r="N529" i="37"/>
  <c r="M518" i="37"/>
  <c r="G518" i="37" s="1"/>
  <c r="N518" i="37"/>
  <c r="M519" i="37"/>
  <c r="G519" i="37" s="1"/>
  <c r="N519" i="37"/>
  <c r="M520" i="37"/>
  <c r="G520" i="37" s="1"/>
  <c r="N520" i="37"/>
  <c r="M510" i="37"/>
  <c r="G510" i="37" s="1"/>
  <c r="N510" i="37"/>
  <c r="M511" i="37"/>
  <c r="G511" i="37" s="1"/>
  <c r="N511" i="37"/>
  <c r="M512" i="37"/>
  <c r="G512" i="37" s="1"/>
  <c r="N512" i="37"/>
  <c r="M513" i="37"/>
  <c r="G513" i="37" s="1"/>
  <c r="N513" i="37"/>
  <c r="M514" i="37"/>
  <c r="G514" i="37" s="1"/>
  <c r="N514" i="37"/>
  <c r="M515" i="37"/>
  <c r="G515" i="37" s="1"/>
  <c r="N515" i="37"/>
  <c r="M516" i="37"/>
  <c r="G516" i="37" s="1"/>
  <c r="N516" i="37"/>
  <c r="M517" i="37"/>
  <c r="G517" i="37" s="1"/>
  <c r="N517" i="37"/>
  <c r="M503" i="37"/>
  <c r="G503" i="37" s="1"/>
  <c r="N503" i="37"/>
  <c r="M504" i="37"/>
  <c r="G504" i="37" s="1"/>
  <c r="N504" i="37"/>
  <c r="M505" i="37"/>
  <c r="G505" i="37" s="1"/>
  <c r="N505" i="37"/>
  <c r="M506" i="37"/>
  <c r="G506" i="37" s="1"/>
  <c r="N506" i="37"/>
  <c r="M507" i="37"/>
  <c r="G507" i="37" s="1"/>
  <c r="N507" i="37"/>
  <c r="M508" i="37"/>
  <c r="G508" i="37" s="1"/>
  <c r="N508" i="37"/>
  <c r="M509" i="37"/>
  <c r="G509" i="37" s="1"/>
  <c r="N509" i="37"/>
  <c r="M492" i="37"/>
  <c r="G492" i="37" s="1"/>
  <c r="N492" i="37"/>
  <c r="M493" i="37"/>
  <c r="G493" i="37" s="1"/>
  <c r="N493" i="37"/>
  <c r="M494" i="37"/>
  <c r="G494" i="37" s="1"/>
  <c r="N494" i="37"/>
  <c r="M495" i="37"/>
  <c r="G495" i="37" s="1"/>
  <c r="N495" i="37"/>
  <c r="M496" i="37"/>
  <c r="G496" i="37" s="1"/>
  <c r="N496" i="37"/>
  <c r="M497" i="37"/>
  <c r="G497" i="37" s="1"/>
  <c r="N497" i="37"/>
  <c r="M498" i="37"/>
  <c r="G498" i="37" s="1"/>
  <c r="N498" i="37"/>
  <c r="M499" i="37"/>
  <c r="G499" i="37" s="1"/>
  <c r="N499" i="37"/>
  <c r="M500" i="37"/>
  <c r="G500" i="37" s="1"/>
  <c r="N500" i="37"/>
  <c r="M501" i="37"/>
  <c r="G501" i="37" s="1"/>
  <c r="N501" i="37"/>
  <c r="M502" i="37"/>
  <c r="G502" i="37" s="1"/>
  <c r="N502" i="37"/>
  <c r="M475" i="37"/>
  <c r="G475" i="37" s="1"/>
  <c r="N475" i="37"/>
  <c r="M476" i="37"/>
  <c r="G476" i="37" s="1"/>
  <c r="N476" i="37"/>
  <c r="M477" i="37"/>
  <c r="G477" i="37" s="1"/>
  <c r="N477" i="37"/>
  <c r="M478" i="37"/>
  <c r="G478" i="37" s="1"/>
  <c r="N478" i="37"/>
  <c r="M479" i="37"/>
  <c r="G479" i="37" s="1"/>
  <c r="N479" i="37"/>
  <c r="M480" i="37"/>
  <c r="G480" i="37" s="1"/>
  <c r="N480" i="37"/>
  <c r="M481" i="37"/>
  <c r="G481" i="37" s="1"/>
  <c r="N481" i="37"/>
  <c r="M482" i="37"/>
  <c r="G482" i="37" s="1"/>
  <c r="N482" i="37"/>
  <c r="M483" i="37"/>
  <c r="G483" i="37" s="1"/>
  <c r="N483" i="37"/>
  <c r="M484" i="37"/>
  <c r="G484" i="37" s="1"/>
  <c r="N484" i="37"/>
  <c r="M485" i="37"/>
  <c r="G485" i="37" s="1"/>
  <c r="N485" i="37"/>
  <c r="M486" i="37"/>
  <c r="G486" i="37" s="1"/>
  <c r="N486" i="37"/>
  <c r="M487" i="37"/>
  <c r="G487" i="37" s="1"/>
  <c r="N487" i="37"/>
  <c r="M488" i="37"/>
  <c r="G488" i="37" s="1"/>
  <c r="N488" i="37"/>
  <c r="M489" i="37"/>
  <c r="G489" i="37" s="1"/>
  <c r="N489" i="37"/>
  <c r="M490" i="37"/>
  <c r="G490" i="37" s="1"/>
  <c r="N490" i="37"/>
  <c r="M491" i="37"/>
  <c r="G491" i="37" s="1"/>
  <c r="N491" i="37"/>
  <c r="M470" i="37"/>
  <c r="G470" i="37" s="1"/>
  <c r="N470" i="37"/>
  <c r="M471" i="37"/>
  <c r="G471" i="37" s="1"/>
  <c r="N471" i="37"/>
  <c r="M472" i="37"/>
  <c r="G472" i="37" s="1"/>
  <c r="N472" i="37"/>
  <c r="M473" i="37"/>
  <c r="G473" i="37" s="1"/>
  <c r="N473" i="37"/>
  <c r="M474" i="37"/>
  <c r="G474" i="37" s="1"/>
  <c r="N474" i="37"/>
  <c r="M430" i="37"/>
  <c r="G430" i="37" s="1"/>
  <c r="N430" i="37"/>
  <c r="M431" i="37"/>
  <c r="G431" i="37" s="1"/>
  <c r="N431" i="37"/>
  <c r="M432" i="37"/>
  <c r="G432" i="37" s="1"/>
  <c r="N432" i="37"/>
  <c r="M433" i="37"/>
  <c r="G433" i="37" s="1"/>
  <c r="N433" i="37"/>
  <c r="M434" i="37"/>
  <c r="G434" i="37" s="1"/>
  <c r="N434" i="37"/>
  <c r="M435" i="37"/>
  <c r="G435" i="37" s="1"/>
  <c r="N435" i="37"/>
  <c r="M436" i="37"/>
  <c r="G436" i="37" s="1"/>
  <c r="N436" i="37"/>
  <c r="M437" i="37"/>
  <c r="G437" i="37" s="1"/>
  <c r="N437" i="37"/>
  <c r="M438" i="37"/>
  <c r="G438" i="37" s="1"/>
  <c r="N438" i="37"/>
  <c r="M439" i="37"/>
  <c r="G439" i="37" s="1"/>
  <c r="N439" i="37"/>
  <c r="M440" i="37"/>
  <c r="G440" i="37" s="1"/>
  <c r="N440" i="37"/>
  <c r="M441" i="37"/>
  <c r="G441" i="37" s="1"/>
  <c r="N441" i="37"/>
  <c r="M442" i="37"/>
  <c r="G442" i="37" s="1"/>
  <c r="N442" i="37"/>
  <c r="M443" i="37"/>
  <c r="G443" i="37" s="1"/>
  <c r="N443" i="37"/>
  <c r="M444" i="37"/>
  <c r="G444" i="37" s="1"/>
  <c r="N444" i="37"/>
  <c r="M445" i="37"/>
  <c r="G445" i="37" s="1"/>
  <c r="N445" i="37"/>
  <c r="M446" i="37"/>
  <c r="G446" i="37" s="1"/>
  <c r="N446" i="37"/>
  <c r="M447" i="37"/>
  <c r="G447" i="37" s="1"/>
  <c r="N447" i="37"/>
  <c r="M448" i="37"/>
  <c r="G448" i="37" s="1"/>
  <c r="N448" i="37"/>
  <c r="M449" i="37"/>
  <c r="G449" i="37" s="1"/>
  <c r="N449" i="37"/>
  <c r="M450" i="37"/>
  <c r="G450" i="37" s="1"/>
  <c r="N450" i="37"/>
  <c r="M451" i="37"/>
  <c r="G451" i="37" s="1"/>
  <c r="N451" i="37"/>
  <c r="M452" i="37"/>
  <c r="G452" i="37" s="1"/>
  <c r="N452" i="37"/>
  <c r="M453" i="37"/>
  <c r="G453" i="37" s="1"/>
  <c r="N453" i="37"/>
  <c r="M454" i="37"/>
  <c r="G454" i="37" s="1"/>
  <c r="N454" i="37"/>
  <c r="M455" i="37"/>
  <c r="G455" i="37" s="1"/>
  <c r="N455" i="37"/>
  <c r="M456" i="37"/>
  <c r="G456" i="37" s="1"/>
  <c r="N456" i="37"/>
  <c r="M457" i="37"/>
  <c r="G457" i="37" s="1"/>
  <c r="N457" i="37"/>
  <c r="M458" i="37"/>
  <c r="G458" i="37" s="1"/>
  <c r="N458" i="37"/>
  <c r="M459" i="37"/>
  <c r="G459" i="37" s="1"/>
  <c r="N459" i="37"/>
  <c r="M460" i="37"/>
  <c r="G460" i="37" s="1"/>
  <c r="N460" i="37"/>
  <c r="M461" i="37"/>
  <c r="G461" i="37" s="1"/>
  <c r="N461" i="37"/>
  <c r="M462" i="37"/>
  <c r="G462" i="37" s="1"/>
  <c r="N462" i="37"/>
  <c r="M463" i="37"/>
  <c r="G463" i="37" s="1"/>
  <c r="N463" i="37"/>
  <c r="M464" i="37"/>
  <c r="G464" i="37" s="1"/>
  <c r="N464" i="37"/>
  <c r="M465" i="37"/>
  <c r="G465" i="37" s="1"/>
  <c r="N465" i="37"/>
  <c r="M466" i="37"/>
  <c r="G466" i="37" s="1"/>
  <c r="N466" i="37"/>
  <c r="M467" i="37"/>
  <c r="G467" i="37" s="1"/>
  <c r="N467" i="37"/>
  <c r="M468" i="37"/>
  <c r="G468" i="37" s="1"/>
  <c r="N468" i="37"/>
  <c r="M469" i="37"/>
  <c r="G469" i="37" s="1"/>
  <c r="N469" i="37"/>
  <c r="N411" i="37"/>
  <c r="N412" i="37"/>
  <c r="N413" i="37"/>
  <c r="N414" i="37"/>
  <c r="N415" i="37"/>
  <c r="N416" i="37"/>
  <c r="N417" i="37"/>
  <c r="N418" i="37"/>
  <c r="N419" i="37"/>
  <c r="N420" i="37"/>
  <c r="N421" i="37"/>
  <c r="N422" i="37"/>
  <c r="N423" i="37"/>
  <c r="N424" i="37"/>
  <c r="N425" i="37"/>
  <c r="N426" i="37"/>
  <c r="N427" i="37"/>
  <c r="N428" i="37"/>
  <c r="N429" i="37"/>
  <c r="M411" i="37"/>
  <c r="G411" i="37" s="1"/>
  <c r="M412" i="37"/>
  <c r="G412" i="37" s="1"/>
  <c r="M413" i="37"/>
  <c r="G413" i="37" s="1"/>
  <c r="M414" i="37"/>
  <c r="G414" i="37" s="1"/>
  <c r="M415" i="37"/>
  <c r="G415" i="37" s="1"/>
  <c r="M416" i="37"/>
  <c r="G416" i="37" s="1"/>
  <c r="M417" i="37"/>
  <c r="G417" i="37" s="1"/>
  <c r="M418" i="37"/>
  <c r="G418" i="37" s="1"/>
  <c r="M419" i="37"/>
  <c r="G419" i="37" s="1"/>
  <c r="M420" i="37"/>
  <c r="G420" i="37" s="1"/>
  <c r="M421" i="37"/>
  <c r="G421" i="37" s="1"/>
  <c r="M422" i="37"/>
  <c r="G422" i="37" s="1"/>
  <c r="M423" i="37"/>
  <c r="G423" i="37" s="1"/>
  <c r="M424" i="37"/>
  <c r="G424" i="37" s="1"/>
  <c r="M425" i="37"/>
  <c r="G425" i="37" s="1"/>
  <c r="M426" i="37"/>
  <c r="G426" i="37" s="1"/>
  <c r="M427" i="37"/>
  <c r="G427" i="37" s="1"/>
  <c r="M428" i="37"/>
  <c r="G428" i="37" s="1"/>
  <c r="M429" i="37"/>
  <c r="G429" i="37" s="1"/>
  <c r="M409" i="37"/>
  <c r="G409" i="37" s="1"/>
  <c r="N409" i="37"/>
  <c r="M410" i="37"/>
  <c r="G410" i="37" s="1"/>
  <c r="N410" i="37"/>
  <c r="N394" i="37"/>
  <c r="N395" i="37"/>
  <c r="N396" i="37"/>
  <c r="N397" i="37"/>
  <c r="N398" i="37"/>
  <c r="N399" i="37"/>
  <c r="N400" i="37"/>
  <c r="N401" i="37"/>
  <c r="N402" i="37"/>
  <c r="N403" i="37"/>
  <c r="N404" i="37"/>
  <c r="N405" i="37"/>
  <c r="N406" i="37"/>
  <c r="N407" i="37"/>
  <c r="N408" i="37"/>
  <c r="M394" i="37"/>
  <c r="G394" i="37" s="1"/>
  <c r="M395" i="37"/>
  <c r="G395" i="37" s="1"/>
  <c r="M396" i="37"/>
  <c r="G396" i="37" s="1"/>
  <c r="M397" i="37"/>
  <c r="G397" i="37" s="1"/>
  <c r="M398" i="37"/>
  <c r="G398" i="37" s="1"/>
  <c r="M399" i="37"/>
  <c r="G399" i="37" s="1"/>
  <c r="M400" i="37"/>
  <c r="G400" i="37" s="1"/>
  <c r="M401" i="37"/>
  <c r="G401" i="37" s="1"/>
  <c r="M402" i="37"/>
  <c r="G402" i="37" s="1"/>
  <c r="M403" i="37"/>
  <c r="G403" i="37" s="1"/>
  <c r="M404" i="37"/>
  <c r="G404" i="37" s="1"/>
  <c r="M405" i="37"/>
  <c r="G405" i="37" s="1"/>
  <c r="M406" i="37"/>
  <c r="G406" i="37" s="1"/>
  <c r="M407" i="37"/>
  <c r="G407" i="37" s="1"/>
  <c r="M408" i="37"/>
  <c r="G408" i="37" s="1"/>
  <c r="M367" i="37"/>
  <c r="G367" i="37" s="1"/>
  <c r="N367" i="37"/>
  <c r="M368" i="37"/>
  <c r="G368" i="37" s="1"/>
  <c r="N368" i="37"/>
  <c r="M369" i="37"/>
  <c r="G369" i="37" s="1"/>
  <c r="N369" i="37"/>
  <c r="M370" i="37"/>
  <c r="G370" i="37" s="1"/>
  <c r="N370" i="37"/>
  <c r="M371" i="37"/>
  <c r="G371" i="37" s="1"/>
  <c r="N371" i="37"/>
  <c r="M372" i="37"/>
  <c r="G372" i="37" s="1"/>
  <c r="N372" i="37"/>
  <c r="M373" i="37"/>
  <c r="G373" i="37" s="1"/>
  <c r="N373" i="37"/>
  <c r="M374" i="37"/>
  <c r="G374" i="37" s="1"/>
  <c r="N374" i="37"/>
  <c r="M375" i="37"/>
  <c r="G375" i="37" s="1"/>
  <c r="N375" i="37"/>
  <c r="M376" i="37"/>
  <c r="G376" i="37" s="1"/>
  <c r="N376" i="37"/>
  <c r="M377" i="37"/>
  <c r="G377" i="37" s="1"/>
  <c r="N377" i="37"/>
  <c r="M378" i="37"/>
  <c r="G378" i="37" s="1"/>
  <c r="N378" i="37"/>
  <c r="M379" i="37"/>
  <c r="G379" i="37" s="1"/>
  <c r="N379" i="37"/>
  <c r="M380" i="37"/>
  <c r="G380" i="37" s="1"/>
  <c r="N380" i="37"/>
  <c r="M381" i="37"/>
  <c r="G381" i="37" s="1"/>
  <c r="N381" i="37"/>
  <c r="M382" i="37"/>
  <c r="G382" i="37" s="1"/>
  <c r="N382" i="37"/>
  <c r="M383" i="37"/>
  <c r="G383" i="37" s="1"/>
  <c r="N383" i="37"/>
  <c r="M384" i="37"/>
  <c r="G384" i="37" s="1"/>
  <c r="N384" i="37"/>
  <c r="M385" i="37"/>
  <c r="G385" i="37" s="1"/>
  <c r="N385" i="37"/>
  <c r="M386" i="37"/>
  <c r="G386" i="37" s="1"/>
  <c r="N386" i="37"/>
  <c r="M387" i="37"/>
  <c r="G387" i="37" s="1"/>
  <c r="N387" i="37"/>
  <c r="M388" i="37"/>
  <c r="G388" i="37" s="1"/>
  <c r="N388" i="37"/>
  <c r="M389" i="37"/>
  <c r="G389" i="37" s="1"/>
  <c r="N389" i="37"/>
  <c r="M390" i="37"/>
  <c r="G390" i="37" s="1"/>
  <c r="N390" i="37"/>
  <c r="M391" i="37"/>
  <c r="G391" i="37" s="1"/>
  <c r="N391" i="37"/>
  <c r="M392" i="37"/>
  <c r="G392" i="37" s="1"/>
  <c r="N392" i="37"/>
  <c r="M393" i="37"/>
  <c r="G393" i="37" s="1"/>
  <c r="N393" i="37"/>
  <c r="N357" i="37"/>
  <c r="N358" i="37"/>
  <c r="N359" i="37"/>
  <c r="N360" i="37"/>
  <c r="N361" i="37"/>
  <c r="N362" i="37"/>
  <c r="N363" i="37"/>
  <c r="N364" i="37"/>
  <c r="N365" i="37"/>
  <c r="N366" i="37"/>
  <c r="M357" i="37"/>
  <c r="G357" i="37" s="1"/>
  <c r="M358" i="37"/>
  <c r="G358" i="37" s="1"/>
  <c r="M359" i="37"/>
  <c r="G359" i="37" s="1"/>
  <c r="M360" i="37"/>
  <c r="G360" i="37" s="1"/>
  <c r="M361" i="37"/>
  <c r="G361" i="37" s="1"/>
  <c r="M362" i="37"/>
  <c r="G362" i="37" s="1"/>
  <c r="M363" i="37"/>
  <c r="G363" i="37" s="1"/>
  <c r="M364" i="37"/>
  <c r="G364" i="37" s="1"/>
  <c r="M365" i="37"/>
  <c r="G365" i="37" s="1"/>
  <c r="M366" i="37"/>
  <c r="G366" i="37" s="1"/>
  <c r="M348" i="37"/>
  <c r="G348" i="37" s="1"/>
  <c r="N348" i="37"/>
  <c r="M349" i="37"/>
  <c r="G349" i="37" s="1"/>
  <c r="N349" i="37"/>
  <c r="M350" i="37"/>
  <c r="G350" i="37" s="1"/>
  <c r="N350" i="37"/>
  <c r="M351" i="37"/>
  <c r="G351" i="37" s="1"/>
  <c r="N351" i="37"/>
  <c r="M352" i="37"/>
  <c r="G352" i="37" s="1"/>
  <c r="N352" i="37"/>
  <c r="M353" i="37"/>
  <c r="G353" i="37" s="1"/>
  <c r="N353" i="37"/>
  <c r="M354" i="37"/>
  <c r="G354" i="37" s="1"/>
  <c r="N354" i="37"/>
  <c r="M355" i="37"/>
  <c r="G355" i="37" s="1"/>
  <c r="N355" i="37"/>
  <c r="M356" i="37"/>
  <c r="G356" i="37" s="1"/>
  <c r="N356" i="37"/>
  <c r="M333" i="37"/>
  <c r="G333" i="37" s="1"/>
  <c r="N333" i="37"/>
  <c r="M334" i="37"/>
  <c r="G334" i="37" s="1"/>
  <c r="N334" i="37"/>
  <c r="M335" i="37"/>
  <c r="G335" i="37" s="1"/>
  <c r="N335" i="37"/>
  <c r="M336" i="37"/>
  <c r="G336" i="37" s="1"/>
  <c r="N336" i="37"/>
  <c r="M337" i="37"/>
  <c r="G337" i="37" s="1"/>
  <c r="N337" i="37"/>
  <c r="M338" i="37"/>
  <c r="G338" i="37" s="1"/>
  <c r="N338" i="37"/>
  <c r="M339" i="37"/>
  <c r="G339" i="37" s="1"/>
  <c r="N339" i="37"/>
  <c r="M340" i="37"/>
  <c r="G340" i="37" s="1"/>
  <c r="N340" i="37"/>
  <c r="M341" i="37"/>
  <c r="G341" i="37" s="1"/>
  <c r="N341" i="37"/>
  <c r="M342" i="37"/>
  <c r="G342" i="37" s="1"/>
  <c r="N342" i="37"/>
  <c r="M343" i="37"/>
  <c r="G343" i="37" s="1"/>
  <c r="N343" i="37"/>
  <c r="M344" i="37"/>
  <c r="G344" i="37" s="1"/>
  <c r="N344" i="37"/>
  <c r="M345" i="37"/>
  <c r="G345" i="37" s="1"/>
  <c r="N345" i="37"/>
  <c r="M346" i="37"/>
  <c r="G346" i="37" s="1"/>
  <c r="N346" i="37"/>
  <c r="M347" i="37"/>
  <c r="G347" i="37" s="1"/>
  <c r="N347" i="37"/>
  <c r="M311" i="37"/>
  <c r="G311" i="37" s="1"/>
  <c r="N311" i="37"/>
  <c r="M312" i="37"/>
  <c r="G312" i="37" s="1"/>
  <c r="N312" i="37"/>
  <c r="M313" i="37"/>
  <c r="G313" i="37" s="1"/>
  <c r="N313" i="37"/>
  <c r="M314" i="37"/>
  <c r="G314" i="37" s="1"/>
  <c r="N314" i="37"/>
  <c r="M315" i="37"/>
  <c r="G315" i="37" s="1"/>
  <c r="N315" i="37"/>
  <c r="M316" i="37"/>
  <c r="G316" i="37" s="1"/>
  <c r="N316" i="37"/>
  <c r="M317" i="37"/>
  <c r="G317" i="37" s="1"/>
  <c r="N317" i="37"/>
  <c r="M318" i="37"/>
  <c r="G318" i="37" s="1"/>
  <c r="N318" i="37"/>
  <c r="M319" i="37"/>
  <c r="G319" i="37" s="1"/>
  <c r="N319" i="37"/>
  <c r="M320" i="37"/>
  <c r="G320" i="37" s="1"/>
  <c r="N320" i="37"/>
  <c r="M321" i="37"/>
  <c r="G321" i="37" s="1"/>
  <c r="N321" i="37"/>
  <c r="M322" i="37"/>
  <c r="G322" i="37" s="1"/>
  <c r="N322" i="37"/>
  <c r="M323" i="37"/>
  <c r="G323" i="37" s="1"/>
  <c r="N323" i="37"/>
  <c r="M324" i="37"/>
  <c r="G324" i="37" s="1"/>
  <c r="N324" i="37"/>
  <c r="M325" i="37"/>
  <c r="G325" i="37" s="1"/>
  <c r="N325" i="37"/>
  <c r="M326" i="37"/>
  <c r="G326" i="37" s="1"/>
  <c r="N326" i="37"/>
  <c r="M327" i="37"/>
  <c r="G327" i="37" s="1"/>
  <c r="N327" i="37"/>
  <c r="M328" i="37"/>
  <c r="G328" i="37" s="1"/>
  <c r="N328" i="37"/>
  <c r="M329" i="37"/>
  <c r="G329" i="37" s="1"/>
  <c r="N329" i="37"/>
  <c r="M330" i="37"/>
  <c r="G330" i="37" s="1"/>
  <c r="N330" i="37"/>
  <c r="M331" i="37"/>
  <c r="G331" i="37" s="1"/>
  <c r="N331" i="37"/>
  <c r="M332" i="37"/>
  <c r="G332" i="37" s="1"/>
  <c r="N332" i="37"/>
  <c r="M292" i="37"/>
  <c r="G292" i="37" s="1"/>
  <c r="N292" i="37"/>
  <c r="M293" i="37"/>
  <c r="G293" i="37" s="1"/>
  <c r="N293" i="37"/>
  <c r="M294" i="37"/>
  <c r="G294" i="37" s="1"/>
  <c r="N294" i="37"/>
  <c r="M295" i="37"/>
  <c r="G295" i="37" s="1"/>
  <c r="N295" i="37"/>
  <c r="M296" i="37"/>
  <c r="G296" i="37" s="1"/>
  <c r="N296" i="37"/>
  <c r="M297" i="37"/>
  <c r="G297" i="37" s="1"/>
  <c r="N297" i="37"/>
  <c r="M298" i="37"/>
  <c r="G298" i="37" s="1"/>
  <c r="N298" i="37"/>
  <c r="M299" i="37"/>
  <c r="G299" i="37" s="1"/>
  <c r="N299" i="37"/>
  <c r="M300" i="37"/>
  <c r="G300" i="37" s="1"/>
  <c r="N300" i="37"/>
  <c r="M301" i="37"/>
  <c r="G301" i="37" s="1"/>
  <c r="N301" i="37"/>
  <c r="M302" i="37"/>
  <c r="G302" i="37" s="1"/>
  <c r="N302" i="37"/>
  <c r="M303" i="37"/>
  <c r="G303" i="37" s="1"/>
  <c r="N303" i="37"/>
  <c r="M304" i="37"/>
  <c r="G304" i="37" s="1"/>
  <c r="N304" i="37"/>
  <c r="M305" i="37"/>
  <c r="G305" i="37" s="1"/>
  <c r="N305" i="37"/>
  <c r="M306" i="37"/>
  <c r="G306" i="37" s="1"/>
  <c r="N306" i="37"/>
  <c r="M307" i="37"/>
  <c r="G307" i="37" s="1"/>
  <c r="N307" i="37"/>
  <c r="M308" i="37"/>
  <c r="G308" i="37" s="1"/>
  <c r="N308" i="37"/>
  <c r="M309" i="37"/>
  <c r="G309" i="37" s="1"/>
  <c r="N309" i="37"/>
  <c r="M310" i="37"/>
  <c r="G310" i="37" s="1"/>
  <c r="N310" i="37"/>
  <c r="I1" i="40"/>
  <c r="M270" i="37"/>
  <c r="G270" i="37" s="1"/>
  <c r="N270" i="37"/>
  <c r="M271" i="37"/>
  <c r="G271" i="37" s="1"/>
  <c r="N271" i="37"/>
  <c r="M272" i="37"/>
  <c r="G272" i="37" s="1"/>
  <c r="N272" i="37"/>
  <c r="M273" i="37"/>
  <c r="G273" i="37" s="1"/>
  <c r="N273" i="37"/>
  <c r="M274" i="37"/>
  <c r="G274" i="37" s="1"/>
  <c r="N274" i="37"/>
  <c r="M275" i="37"/>
  <c r="G275" i="37" s="1"/>
  <c r="N275" i="37"/>
  <c r="M276" i="37"/>
  <c r="G276" i="37" s="1"/>
  <c r="N276" i="37"/>
  <c r="M277" i="37"/>
  <c r="G277" i="37" s="1"/>
  <c r="N277" i="37"/>
  <c r="M278" i="37"/>
  <c r="G278" i="37" s="1"/>
  <c r="N278" i="37"/>
  <c r="M279" i="37"/>
  <c r="G279" i="37" s="1"/>
  <c r="N279" i="37"/>
  <c r="M280" i="37"/>
  <c r="G280" i="37" s="1"/>
  <c r="N280" i="37"/>
  <c r="M281" i="37"/>
  <c r="G281" i="37" s="1"/>
  <c r="N281" i="37"/>
  <c r="M282" i="37"/>
  <c r="G282" i="37" s="1"/>
  <c r="N282" i="37"/>
  <c r="M283" i="37"/>
  <c r="G283" i="37" s="1"/>
  <c r="N283" i="37"/>
  <c r="M284" i="37"/>
  <c r="G284" i="37" s="1"/>
  <c r="N284" i="37"/>
  <c r="M285" i="37"/>
  <c r="G285" i="37" s="1"/>
  <c r="N285" i="37"/>
  <c r="M286" i="37"/>
  <c r="G286" i="37" s="1"/>
  <c r="N286" i="37"/>
  <c r="M287" i="37"/>
  <c r="G287" i="37" s="1"/>
  <c r="N287" i="37"/>
  <c r="M288" i="37"/>
  <c r="G288" i="37" s="1"/>
  <c r="N288" i="37"/>
  <c r="M289" i="37"/>
  <c r="G289" i="37" s="1"/>
  <c r="N289" i="37"/>
  <c r="M290" i="37"/>
  <c r="G290" i="37" s="1"/>
  <c r="N290" i="37"/>
  <c r="M291" i="37"/>
  <c r="G291" i="37" s="1"/>
  <c r="N291" i="37"/>
  <c r="M239" i="37"/>
  <c r="G239" i="37" s="1"/>
  <c r="N239" i="37"/>
  <c r="M240" i="37"/>
  <c r="G240" i="37" s="1"/>
  <c r="N240" i="37"/>
  <c r="M241" i="37"/>
  <c r="G241" i="37" s="1"/>
  <c r="N241" i="37"/>
  <c r="M242" i="37"/>
  <c r="G242" i="37" s="1"/>
  <c r="N242" i="37"/>
  <c r="M243" i="37"/>
  <c r="G243" i="37" s="1"/>
  <c r="N243" i="37"/>
  <c r="M244" i="37"/>
  <c r="G244" i="37" s="1"/>
  <c r="N244" i="37"/>
  <c r="M245" i="37"/>
  <c r="G245" i="37" s="1"/>
  <c r="N245" i="37"/>
  <c r="M246" i="37"/>
  <c r="G246" i="37" s="1"/>
  <c r="N246" i="37"/>
  <c r="M247" i="37"/>
  <c r="G247" i="37" s="1"/>
  <c r="N247" i="37"/>
  <c r="M248" i="37"/>
  <c r="G248" i="37" s="1"/>
  <c r="N248" i="37"/>
  <c r="M249" i="37"/>
  <c r="G249" i="37" s="1"/>
  <c r="N249" i="37"/>
  <c r="M250" i="37"/>
  <c r="G250" i="37" s="1"/>
  <c r="N250" i="37"/>
  <c r="M251" i="37"/>
  <c r="G251" i="37" s="1"/>
  <c r="N251" i="37"/>
  <c r="M252" i="37"/>
  <c r="G252" i="37" s="1"/>
  <c r="N252" i="37"/>
  <c r="M253" i="37"/>
  <c r="G253" i="37" s="1"/>
  <c r="N253" i="37"/>
  <c r="M254" i="37"/>
  <c r="G254" i="37" s="1"/>
  <c r="N254" i="37"/>
  <c r="M255" i="37"/>
  <c r="G255" i="37" s="1"/>
  <c r="N255" i="37"/>
  <c r="M256" i="37"/>
  <c r="G256" i="37" s="1"/>
  <c r="N256" i="37"/>
  <c r="M257" i="37"/>
  <c r="G257" i="37" s="1"/>
  <c r="N257" i="37"/>
  <c r="M258" i="37"/>
  <c r="G258" i="37" s="1"/>
  <c r="N258" i="37"/>
  <c r="M259" i="37"/>
  <c r="G259" i="37" s="1"/>
  <c r="N259" i="37"/>
  <c r="M260" i="37"/>
  <c r="G260" i="37" s="1"/>
  <c r="N260" i="37"/>
  <c r="M261" i="37"/>
  <c r="G261" i="37" s="1"/>
  <c r="N261" i="37"/>
  <c r="M262" i="37"/>
  <c r="G262" i="37" s="1"/>
  <c r="N262" i="37"/>
  <c r="M263" i="37"/>
  <c r="G263" i="37" s="1"/>
  <c r="N263" i="37"/>
  <c r="M264" i="37"/>
  <c r="G264" i="37" s="1"/>
  <c r="N264" i="37"/>
  <c r="M265" i="37"/>
  <c r="G265" i="37" s="1"/>
  <c r="N265" i="37"/>
  <c r="M266" i="37"/>
  <c r="G266" i="37" s="1"/>
  <c r="N266" i="37"/>
  <c r="M267" i="37"/>
  <c r="G267" i="37" s="1"/>
  <c r="N267" i="37"/>
  <c r="M268" i="37"/>
  <c r="G268" i="37" s="1"/>
  <c r="N268" i="37"/>
  <c r="M269" i="37"/>
  <c r="G269" i="37" s="1"/>
  <c r="N269" i="37"/>
  <c r="N238" i="37"/>
  <c r="M238" i="37"/>
  <c r="G238" i="37" s="1"/>
  <c r="N237" i="37"/>
  <c r="M237" i="37"/>
  <c r="G237" i="37" s="1"/>
  <c r="N236" i="37"/>
  <c r="M236" i="37"/>
  <c r="G236" i="37" s="1"/>
  <c r="N235" i="37"/>
  <c r="M235" i="37"/>
  <c r="G235" i="37" s="1"/>
  <c r="N234" i="37"/>
  <c r="M234" i="37"/>
  <c r="G234" i="37" s="1"/>
  <c r="N233" i="37"/>
  <c r="M233" i="37"/>
  <c r="G233" i="37" s="1"/>
  <c r="N232" i="37"/>
  <c r="M232" i="37"/>
  <c r="G232" i="37" s="1"/>
  <c r="N231" i="37"/>
  <c r="M231" i="37"/>
  <c r="G231" i="37" s="1"/>
  <c r="N230" i="37"/>
  <c r="M230" i="37"/>
  <c r="G230" i="37" s="1"/>
  <c r="N229" i="37"/>
  <c r="M229" i="37"/>
  <c r="G229" i="37" s="1"/>
  <c r="N228" i="37"/>
  <c r="M228" i="37"/>
  <c r="G228" i="37" s="1"/>
  <c r="N227" i="37"/>
  <c r="M227" i="37"/>
  <c r="G227" i="37" s="1"/>
  <c r="N226" i="37"/>
  <c r="M226" i="37"/>
  <c r="G226" i="37" s="1"/>
  <c r="N225" i="37"/>
  <c r="M225" i="37"/>
  <c r="G225" i="37" s="1"/>
  <c r="N224" i="37"/>
  <c r="M224" i="37"/>
  <c r="G224" i="37" s="1"/>
  <c r="N223" i="37"/>
  <c r="M223" i="37"/>
  <c r="G223" i="37" s="1"/>
  <c r="N222" i="37"/>
  <c r="M222" i="37"/>
  <c r="G222" i="37" s="1"/>
  <c r="N221" i="37"/>
  <c r="M221" i="37"/>
  <c r="G221" i="37" s="1"/>
  <c r="N220" i="37"/>
  <c r="M220" i="37"/>
  <c r="G220" i="37" s="1"/>
  <c r="N219" i="37"/>
  <c r="M219" i="37"/>
  <c r="G219" i="37" s="1"/>
  <c r="N218" i="37"/>
  <c r="M218" i="37"/>
  <c r="G218" i="37" s="1"/>
  <c r="N217" i="37"/>
  <c r="M217" i="37"/>
  <c r="G217" i="37" s="1"/>
  <c r="N216" i="37"/>
  <c r="M216" i="37"/>
  <c r="G216" i="37" s="1"/>
  <c r="N215" i="37"/>
  <c r="M215" i="37"/>
  <c r="G215" i="37" s="1"/>
  <c r="N214" i="37"/>
  <c r="M214" i="37"/>
  <c r="G214" i="37" s="1"/>
  <c r="N213" i="37"/>
  <c r="M213" i="37"/>
  <c r="G213" i="37" s="1"/>
  <c r="N212" i="37"/>
  <c r="M212" i="37"/>
  <c r="G212" i="37" s="1"/>
  <c r="N211" i="37"/>
  <c r="M211" i="37"/>
  <c r="G211" i="37" s="1"/>
  <c r="N210" i="37"/>
  <c r="M210" i="37"/>
  <c r="G210" i="37" s="1"/>
  <c r="N209" i="37"/>
  <c r="M209" i="37"/>
  <c r="G209" i="37" s="1"/>
  <c r="N208" i="37"/>
  <c r="M208" i="37"/>
  <c r="G208" i="37" s="1"/>
  <c r="N207" i="37"/>
  <c r="M207" i="37"/>
  <c r="G207" i="37" s="1"/>
  <c r="N206" i="37"/>
  <c r="M206" i="37"/>
  <c r="G206" i="37" s="1"/>
  <c r="N205" i="37"/>
  <c r="M205" i="37"/>
  <c r="G205" i="37" s="1"/>
  <c r="N204" i="37"/>
  <c r="M204" i="37"/>
  <c r="G204" i="37" s="1"/>
  <c r="N203" i="37"/>
  <c r="M203" i="37"/>
  <c r="G203" i="37" s="1"/>
  <c r="N202" i="37"/>
  <c r="M202" i="37"/>
  <c r="G202" i="37" s="1"/>
  <c r="N201" i="37"/>
  <c r="M201" i="37"/>
  <c r="G201" i="37" s="1"/>
  <c r="N200" i="37"/>
  <c r="M200" i="37"/>
  <c r="G200" i="37" s="1"/>
  <c r="N199" i="37"/>
  <c r="M199" i="37"/>
  <c r="G199" i="37" s="1"/>
  <c r="N198" i="37"/>
  <c r="M198" i="37"/>
  <c r="G198" i="37" s="1"/>
  <c r="N197" i="37"/>
  <c r="M197" i="37"/>
  <c r="G197" i="37" s="1"/>
  <c r="N196" i="37"/>
  <c r="M196" i="37"/>
  <c r="G196" i="37" s="1"/>
  <c r="N195" i="37"/>
  <c r="M195" i="37"/>
  <c r="G195" i="37" s="1"/>
  <c r="N194" i="37"/>
  <c r="M194" i="37"/>
  <c r="G194" i="37" s="1"/>
  <c r="N193" i="37"/>
  <c r="M193" i="37"/>
  <c r="G193" i="37" s="1"/>
  <c r="N192" i="37"/>
  <c r="M192" i="37"/>
  <c r="G192" i="37" s="1"/>
  <c r="N191" i="37"/>
  <c r="M191" i="37"/>
  <c r="G191" i="37" s="1"/>
  <c r="N190" i="37"/>
  <c r="M190" i="37"/>
  <c r="G190" i="37" s="1"/>
  <c r="N189" i="37"/>
  <c r="M189" i="37"/>
  <c r="G189" i="37" s="1"/>
  <c r="N188" i="37"/>
  <c r="M188" i="37"/>
  <c r="G188" i="37" s="1"/>
  <c r="N187" i="37"/>
  <c r="M187" i="37"/>
  <c r="G187" i="37" s="1"/>
  <c r="N186" i="37"/>
  <c r="M186" i="37"/>
  <c r="G186" i="37" s="1"/>
  <c r="N185" i="37"/>
  <c r="M185" i="37"/>
  <c r="G185" i="37" s="1"/>
  <c r="N184" i="37"/>
  <c r="M184" i="37"/>
  <c r="G184" i="37" s="1"/>
  <c r="N183" i="37"/>
  <c r="M183" i="37"/>
  <c r="G183" i="37" s="1"/>
  <c r="N182" i="37"/>
  <c r="M182" i="37"/>
  <c r="G182" i="37" s="1"/>
  <c r="N181" i="37"/>
  <c r="M181" i="37"/>
  <c r="G181" i="37" s="1"/>
  <c r="N180" i="37"/>
  <c r="M180" i="37"/>
  <c r="G180" i="37" s="1"/>
  <c r="N179" i="37"/>
  <c r="M179" i="37"/>
  <c r="G179" i="37" s="1"/>
  <c r="N178" i="37"/>
  <c r="M178" i="37"/>
  <c r="G178" i="37" s="1"/>
  <c r="N177" i="37"/>
  <c r="M177" i="37"/>
  <c r="G177" i="37" s="1"/>
  <c r="N176" i="37"/>
  <c r="M176" i="37"/>
  <c r="G176" i="37" s="1"/>
  <c r="N175" i="37"/>
  <c r="M175" i="37"/>
  <c r="G175" i="37" s="1"/>
  <c r="N174" i="37"/>
  <c r="M174" i="37"/>
  <c r="G174" i="37" s="1"/>
  <c r="N173" i="37"/>
  <c r="M173" i="37"/>
  <c r="G173" i="37" s="1"/>
  <c r="N172" i="37"/>
  <c r="M172" i="37"/>
  <c r="G172" i="37" s="1"/>
  <c r="N171" i="37"/>
  <c r="M171" i="37"/>
  <c r="G171" i="37" s="1"/>
  <c r="N170" i="37"/>
  <c r="M170" i="37"/>
  <c r="G170" i="37" s="1"/>
  <c r="N169" i="37"/>
  <c r="M169" i="37"/>
  <c r="G169" i="37" s="1"/>
  <c r="N168" i="37"/>
  <c r="M168" i="37"/>
  <c r="G168" i="37" s="1"/>
  <c r="N167" i="37"/>
  <c r="M167" i="37"/>
  <c r="G167" i="37" s="1"/>
  <c r="N166" i="37"/>
  <c r="M166" i="37"/>
  <c r="G166" i="37" s="1"/>
  <c r="N165" i="37"/>
  <c r="M165" i="37"/>
  <c r="G165" i="37" s="1"/>
  <c r="N164" i="37"/>
  <c r="M164" i="37"/>
  <c r="G164" i="37" s="1"/>
  <c r="N163" i="37"/>
  <c r="M163" i="37"/>
  <c r="G163" i="37" s="1"/>
  <c r="N162" i="37"/>
  <c r="M162" i="37"/>
  <c r="G162" i="37" s="1"/>
  <c r="N161" i="37"/>
  <c r="M161" i="37"/>
  <c r="G161" i="37" s="1"/>
  <c r="N160" i="37"/>
  <c r="M160" i="37"/>
  <c r="G160" i="37" s="1"/>
  <c r="N159" i="37"/>
  <c r="M159" i="37"/>
  <c r="G159" i="37" s="1"/>
  <c r="N158" i="37"/>
  <c r="M158" i="37"/>
  <c r="G158" i="37" s="1"/>
  <c r="N157" i="37"/>
  <c r="M157" i="37"/>
  <c r="G157" i="37" s="1"/>
  <c r="N156" i="37"/>
  <c r="M156" i="37"/>
  <c r="G156" i="37" s="1"/>
  <c r="N155" i="37"/>
  <c r="M155" i="37"/>
  <c r="G155" i="37" s="1"/>
  <c r="N154" i="37"/>
  <c r="M154" i="37"/>
  <c r="G154" i="37" s="1"/>
  <c r="N153" i="37"/>
  <c r="M153" i="37"/>
  <c r="G153" i="37" s="1"/>
  <c r="N152" i="37"/>
  <c r="M152" i="37"/>
  <c r="G152" i="37" s="1"/>
  <c r="N151" i="37"/>
  <c r="M151" i="37"/>
  <c r="G151" i="37" s="1"/>
  <c r="N150" i="37"/>
  <c r="M150" i="37"/>
  <c r="G150" i="37" s="1"/>
  <c r="N149" i="37"/>
  <c r="M149" i="37"/>
  <c r="G149" i="37" s="1"/>
  <c r="N148" i="37"/>
  <c r="M148" i="37"/>
  <c r="G148" i="37" s="1"/>
  <c r="N147" i="37"/>
  <c r="M147" i="37"/>
  <c r="G147" i="37" s="1"/>
  <c r="N146" i="37"/>
  <c r="M146" i="37"/>
  <c r="G146" i="37" s="1"/>
  <c r="N145" i="37"/>
  <c r="M145" i="37"/>
  <c r="G145" i="37" s="1"/>
  <c r="N144" i="37"/>
  <c r="M144" i="37"/>
  <c r="G144" i="37" s="1"/>
  <c r="N143" i="37"/>
  <c r="M143" i="37"/>
  <c r="G143" i="37" s="1"/>
  <c r="N142" i="37"/>
  <c r="M142" i="37"/>
  <c r="G142" i="37" s="1"/>
  <c r="N141" i="37"/>
  <c r="M141" i="37"/>
  <c r="G141" i="37" s="1"/>
  <c r="N140" i="37"/>
  <c r="M140" i="37"/>
  <c r="G140" i="37" s="1"/>
  <c r="N139" i="37"/>
  <c r="M139" i="37"/>
  <c r="G139" i="37" s="1"/>
  <c r="N138" i="37"/>
  <c r="M138" i="37"/>
  <c r="G138" i="37" s="1"/>
  <c r="N137" i="37"/>
  <c r="M137" i="37"/>
  <c r="G137" i="37" s="1"/>
  <c r="N136" i="37"/>
  <c r="M136" i="37"/>
  <c r="G136" i="37" s="1"/>
  <c r="N135" i="37"/>
  <c r="M135" i="37"/>
  <c r="G135" i="37" s="1"/>
  <c r="N134" i="37"/>
  <c r="M134" i="37"/>
  <c r="G134" i="37" s="1"/>
  <c r="N133" i="37"/>
  <c r="M133" i="37"/>
  <c r="G133" i="37" s="1"/>
  <c r="N132" i="37"/>
  <c r="M132" i="37"/>
  <c r="G132" i="37" s="1"/>
  <c r="N131" i="37"/>
  <c r="M131" i="37"/>
  <c r="G131" i="37" s="1"/>
  <c r="N130" i="37"/>
  <c r="M130" i="37"/>
  <c r="G130" i="37" s="1"/>
  <c r="N129" i="37"/>
  <c r="M129" i="37"/>
  <c r="G129" i="37" s="1"/>
  <c r="N128" i="37"/>
  <c r="M128" i="37"/>
  <c r="G128" i="37" s="1"/>
  <c r="N127" i="37"/>
  <c r="M127" i="37"/>
  <c r="G127" i="37" s="1"/>
  <c r="N126" i="37"/>
  <c r="M126" i="37"/>
  <c r="G126" i="37" s="1"/>
  <c r="N125" i="37"/>
  <c r="M125" i="37"/>
  <c r="G125" i="37" s="1"/>
  <c r="N124" i="37"/>
  <c r="M124" i="37"/>
  <c r="G124" i="37" s="1"/>
  <c r="N123" i="37"/>
  <c r="M123" i="37"/>
  <c r="G123" i="37" s="1"/>
  <c r="N122" i="37"/>
  <c r="M122" i="37"/>
  <c r="G122" i="37" s="1"/>
  <c r="N121" i="37"/>
  <c r="M121" i="37"/>
  <c r="G121" i="37" s="1"/>
  <c r="N120" i="37"/>
  <c r="M120" i="37"/>
  <c r="G120" i="37" s="1"/>
  <c r="N119" i="37"/>
  <c r="M119" i="37"/>
  <c r="G119" i="37" s="1"/>
  <c r="N118" i="37"/>
  <c r="M118" i="37"/>
  <c r="G118" i="37" s="1"/>
  <c r="N117" i="37"/>
  <c r="M117" i="37"/>
  <c r="G117" i="37" s="1"/>
  <c r="N116" i="37"/>
  <c r="M116" i="37"/>
  <c r="G116" i="37" s="1"/>
  <c r="N67" i="37"/>
  <c r="N68" i="37"/>
  <c r="N69" i="37"/>
  <c r="N70" i="37"/>
  <c r="N71" i="37"/>
  <c r="N72" i="37"/>
  <c r="N73" i="37"/>
  <c r="N74" i="37"/>
  <c r="N75" i="37"/>
  <c r="N76" i="37"/>
  <c r="N77" i="37"/>
  <c r="N78" i="37"/>
  <c r="N79" i="37"/>
  <c r="N80" i="37"/>
  <c r="N81" i="37"/>
  <c r="N82" i="37"/>
  <c r="N83" i="37"/>
  <c r="N84" i="37"/>
  <c r="N85" i="37"/>
  <c r="N86" i="37"/>
  <c r="N87" i="37"/>
  <c r="N88" i="37"/>
  <c r="N89" i="37"/>
  <c r="N90" i="37"/>
  <c r="N91" i="37"/>
  <c r="N92" i="37"/>
  <c r="N93" i="37"/>
  <c r="N94" i="37"/>
  <c r="N95" i="37"/>
  <c r="N96" i="37"/>
  <c r="N97" i="37"/>
  <c r="N98" i="37"/>
  <c r="N99" i="37"/>
  <c r="N100" i="37"/>
  <c r="N101" i="37"/>
  <c r="N102" i="37"/>
  <c r="N103" i="37"/>
  <c r="N104" i="37"/>
  <c r="N105" i="37"/>
  <c r="N106" i="37"/>
  <c r="N107" i="37"/>
  <c r="N108" i="37"/>
  <c r="N109" i="37"/>
  <c r="N110" i="37"/>
  <c r="N111" i="37"/>
  <c r="N112" i="37"/>
  <c r="N113" i="37"/>
  <c r="N114" i="37"/>
  <c r="N115" i="37"/>
  <c r="M67" i="37"/>
  <c r="G67" i="37" s="1"/>
  <c r="M68" i="37"/>
  <c r="G68" i="37" s="1"/>
  <c r="M69" i="37"/>
  <c r="G69" i="37" s="1"/>
  <c r="M70" i="37"/>
  <c r="G70" i="37" s="1"/>
  <c r="M71" i="37"/>
  <c r="G71" i="37" s="1"/>
  <c r="M72" i="37"/>
  <c r="G72" i="37" s="1"/>
  <c r="M73" i="37"/>
  <c r="G73" i="37" s="1"/>
  <c r="M74" i="37"/>
  <c r="G74" i="37" s="1"/>
  <c r="M75" i="37"/>
  <c r="G75" i="37" s="1"/>
  <c r="M76" i="37"/>
  <c r="G76" i="37" s="1"/>
  <c r="M77" i="37"/>
  <c r="G77" i="37" s="1"/>
  <c r="M78" i="37"/>
  <c r="G78" i="37" s="1"/>
  <c r="M79" i="37"/>
  <c r="G79" i="37" s="1"/>
  <c r="M80" i="37"/>
  <c r="G80" i="37" s="1"/>
  <c r="M81" i="37"/>
  <c r="G81" i="37" s="1"/>
  <c r="M82" i="37"/>
  <c r="G82" i="37" s="1"/>
  <c r="M83" i="37"/>
  <c r="G83" i="37" s="1"/>
  <c r="M84" i="37"/>
  <c r="G84" i="37" s="1"/>
  <c r="M85" i="37"/>
  <c r="G85" i="37" s="1"/>
  <c r="M86" i="37"/>
  <c r="G86" i="37" s="1"/>
  <c r="M87" i="37"/>
  <c r="G87" i="37" s="1"/>
  <c r="M88" i="37"/>
  <c r="G88" i="37" s="1"/>
  <c r="M89" i="37"/>
  <c r="G89" i="37" s="1"/>
  <c r="M90" i="37"/>
  <c r="G90" i="37" s="1"/>
  <c r="M91" i="37"/>
  <c r="G91" i="37" s="1"/>
  <c r="M92" i="37"/>
  <c r="G92" i="37" s="1"/>
  <c r="M93" i="37"/>
  <c r="G93" i="37" s="1"/>
  <c r="M94" i="37"/>
  <c r="G94" i="37" s="1"/>
  <c r="M95" i="37"/>
  <c r="G95" i="37" s="1"/>
  <c r="M96" i="37"/>
  <c r="G96" i="37" s="1"/>
  <c r="M97" i="37"/>
  <c r="G97" i="37" s="1"/>
  <c r="M98" i="37"/>
  <c r="G98" i="37" s="1"/>
  <c r="M99" i="37"/>
  <c r="G99" i="37" s="1"/>
  <c r="M100" i="37"/>
  <c r="G100" i="37" s="1"/>
  <c r="M101" i="37"/>
  <c r="G101" i="37" s="1"/>
  <c r="M102" i="37"/>
  <c r="G102" i="37" s="1"/>
  <c r="M103" i="37"/>
  <c r="G103" i="37" s="1"/>
  <c r="M104" i="37"/>
  <c r="G104" i="37" s="1"/>
  <c r="M105" i="37"/>
  <c r="G105" i="37" s="1"/>
  <c r="M106" i="37"/>
  <c r="G106" i="37" s="1"/>
  <c r="M107" i="37"/>
  <c r="G107" i="37" s="1"/>
  <c r="M108" i="37"/>
  <c r="G108" i="37" s="1"/>
  <c r="M109" i="37"/>
  <c r="G109" i="37" s="1"/>
  <c r="M110" i="37"/>
  <c r="G110" i="37" s="1"/>
  <c r="M111" i="37"/>
  <c r="G111" i="37" s="1"/>
  <c r="M112" i="37"/>
  <c r="G112" i="37" s="1"/>
  <c r="M113" i="37"/>
  <c r="G113" i="37" s="1"/>
  <c r="M114" i="37"/>
  <c r="G114" i="37" s="1"/>
  <c r="M115" i="37"/>
  <c r="G115" i="37" s="1"/>
  <c r="N52" i="37"/>
  <c r="N53" i="37"/>
  <c r="N54" i="37"/>
  <c r="N55" i="37"/>
  <c r="N56" i="37"/>
  <c r="N57" i="37"/>
  <c r="N58" i="37"/>
  <c r="N59" i="37"/>
  <c r="N60" i="37"/>
  <c r="N61" i="37"/>
  <c r="N62" i="37"/>
  <c r="N63" i="37"/>
  <c r="N64" i="37"/>
  <c r="N65" i="37"/>
  <c r="N66" i="37"/>
  <c r="M52" i="37"/>
  <c r="G52" i="37" s="1"/>
  <c r="M53" i="37"/>
  <c r="G53" i="37" s="1"/>
  <c r="M54" i="37"/>
  <c r="G54" i="37" s="1"/>
  <c r="M55" i="37"/>
  <c r="G55" i="37" s="1"/>
  <c r="M56" i="37"/>
  <c r="G56" i="37" s="1"/>
  <c r="M57" i="37"/>
  <c r="G57" i="37" s="1"/>
  <c r="M58" i="37"/>
  <c r="G58" i="37" s="1"/>
  <c r="M59" i="37"/>
  <c r="G59" i="37" s="1"/>
  <c r="M60" i="37"/>
  <c r="G60" i="37" s="1"/>
  <c r="M61" i="37"/>
  <c r="G61" i="37" s="1"/>
  <c r="M62" i="37"/>
  <c r="G62" i="37" s="1"/>
  <c r="M63" i="37"/>
  <c r="G63" i="37" s="1"/>
  <c r="M64" i="37"/>
  <c r="G64" i="37" s="1"/>
  <c r="M65" i="37"/>
  <c r="G65" i="37" s="1"/>
  <c r="M66" i="37"/>
  <c r="G66" i="37" s="1"/>
  <c r="N37" i="37"/>
  <c r="N38" i="37"/>
  <c r="N39" i="37"/>
  <c r="N40" i="37"/>
  <c r="N41" i="37"/>
  <c r="N42" i="37"/>
  <c r="N43" i="37"/>
  <c r="N44" i="37"/>
  <c r="N45" i="37"/>
  <c r="N46" i="37"/>
  <c r="N47" i="37"/>
  <c r="N48" i="37"/>
  <c r="N49" i="37"/>
  <c r="N50" i="37"/>
  <c r="N51" i="37"/>
  <c r="M37" i="37"/>
  <c r="G37" i="37" s="1"/>
  <c r="M38" i="37"/>
  <c r="G38" i="37" s="1"/>
  <c r="M39" i="37"/>
  <c r="G39" i="37" s="1"/>
  <c r="M40" i="37"/>
  <c r="G40" i="37" s="1"/>
  <c r="M41" i="37"/>
  <c r="G41" i="37" s="1"/>
  <c r="M42" i="37"/>
  <c r="G42" i="37" s="1"/>
  <c r="M43" i="37"/>
  <c r="G43" i="37" s="1"/>
  <c r="M44" i="37"/>
  <c r="G44" i="37" s="1"/>
  <c r="M45" i="37"/>
  <c r="G45" i="37" s="1"/>
  <c r="M46" i="37"/>
  <c r="G46" i="37" s="1"/>
  <c r="M47" i="37"/>
  <c r="G47" i="37" s="1"/>
  <c r="M48" i="37"/>
  <c r="G48" i="37" s="1"/>
  <c r="M49" i="37"/>
  <c r="G49" i="37" s="1"/>
  <c r="M50" i="37"/>
  <c r="G50" i="37" s="1"/>
  <c r="M51" i="37"/>
  <c r="G51" i="37" s="1"/>
  <c r="N32" i="37"/>
  <c r="N33" i="37"/>
  <c r="N34" i="37"/>
  <c r="N35" i="37"/>
  <c r="N36" i="37"/>
  <c r="M32" i="37"/>
  <c r="G32" i="37" s="1"/>
  <c r="M33" i="37"/>
  <c r="G33" i="37" s="1"/>
  <c r="M34" i="37"/>
  <c r="G34" i="37" s="1"/>
  <c r="M35" i="37"/>
  <c r="G35" i="37" s="1"/>
  <c r="M36" i="37"/>
  <c r="G36" i="37" s="1"/>
  <c r="M24" i="37"/>
  <c r="G24" i="37" s="1"/>
  <c r="M25" i="37"/>
  <c r="G25" i="37" s="1"/>
  <c r="M26" i="37"/>
  <c r="G26" i="37" s="1"/>
  <c r="M27" i="37"/>
  <c r="G27" i="37" s="1"/>
  <c r="M28" i="37"/>
  <c r="G28" i="37" s="1"/>
  <c r="M29" i="37"/>
  <c r="G29" i="37" s="1"/>
  <c r="M30" i="37"/>
  <c r="G30" i="37" s="1"/>
  <c r="M31" i="37"/>
  <c r="G31" i="37" s="1"/>
  <c r="N24" i="37"/>
  <c r="N25" i="37"/>
  <c r="N26" i="37"/>
  <c r="N27" i="37"/>
  <c r="N28" i="37"/>
  <c r="N29" i="37"/>
  <c r="N30" i="37"/>
  <c r="N31" i="37"/>
  <c r="N16" i="37"/>
  <c r="N17" i="37"/>
  <c r="N18" i="37"/>
  <c r="N19" i="37"/>
  <c r="N20" i="37"/>
  <c r="N21" i="37"/>
  <c r="N22" i="37"/>
  <c r="N23" i="37"/>
  <c r="M16" i="37"/>
  <c r="G16" i="37" s="1"/>
  <c r="M17" i="37"/>
  <c r="G17" i="37" s="1"/>
  <c r="M18" i="37"/>
  <c r="G18" i="37" s="1"/>
  <c r="M19" i="37"/>
  <c r="G19" i="37" s="1"/>
  <c r="M20" i="37"/>
  <c r="G20" i="37" s="1"/>
  <c r="M21" i="37"/>
  <c r="G21" i="37" s="1"/>
  <c r="M22" i="37"/>
  <c r="G22" i="37" s="1"/>
  <c r="M23" i="37"/>
  <c r="G23" i="37" s="1"/>
  <c r="N3" i="37"/>
  <c r="N4" i="37"/>
  <c r="N5" i="37"/>
  <c r="N6" i="37"/>
  <c r="N7" i="37"/>
  <c r="N8" i="37"/>
  <c r="N9" i="37"/>
  <c r="N10" i="37"/>
  <c r="N11" i="37"/>
  <c r="N12" i="37"/>
  <c r="N13" i="37"/>
  <c r="N14" i="37"/>
  <c r="N15" i="37"/>
  <c r="N2" i="37"/>
  <c r="M3" i="37"/>
  <c r="G3" i="37" s="1"/>
  <c r="M4" i="37"/>
  <c r="G4" i="37" s="1"/>
  <c r="M5" i="37"/>
  <c r="G5" i="37" s="1"/>
  <c r="M6" i="37"/>
  <c r="G6" i="37" s="1"/>
  <c r="M7" i="37"/>
  <c r="G7" i="37" s="1"/>
  <c r="M8" i="37"/>
  <c r="G8" i="37" s="1"/>
  <c r="M9" i="37"/>
  <c r="G9" i="37" s="1"/>
  <c r="M10" i="37"/>
  <c r="G10" i="37" s="1"/>
  <c r="M11" i="37"/>
  <c r="G11" i="37" s="1"/>
  <c r="M12" i="37"/>
  <c r="G12" i="37" s="1"/>
  <c r="M13" i="37"/>
  <c r="G13" i="37" s="1"/>
  <c r="M14" i="37"/>
  <c r="G14" i="37" s="1"/>
  <c r="M15" i="37"/>
  <c r="G15" i="37" s="1"/>
  <c r="M2" i="37"/>
  <c r="G2" i="37" s="1"/>
</calcChain>
</file>

<file path=xl/sharedStrings.xml><?xml version="1.0" encoding="utf-8"?>
<sst xmlns="http://schemas.openxmlformats.org/spreadsheetml/2006/main" count="5332" uniqueCount="1249">
  <si>
    <t>Salesforce Stage</t>
  </si>
  <si>
    <t>Open</t>
  </si>
  <si>
    <t>Closed Won</t>
  </si>
  <si>
    <t>4. Product/Offer Issues</t>
  </si>
  <si>
    <t>4B. Ancillary Fees</t>
  </si>
  <si>
    <t>4F. Promotion Ineligibility</t>
  </si>
  <si>
    <t>Batch</t>
  </si>
  <si>
    <t>Code</t>
  </si>
  <si>
    <t>Catagory</t>
  </si>
  <si>
    <t>Description</t>
  </si>
  <si>
    <t>006Rg00000a4cmjIAA</t>
  </si>
  <si>
    <t>4B</t>
  </si>
  <si>
    <t>4C</t>
  </si>
  <si>
    <t>4A</t>
  </si>
  <si>
    <t>4F</t>
  </si>
  <si>
    <t>4E</t>
  </si>
  <si>
    <t>006Rg00000aMXF7IAO</t>
  </si>
  <si>
    <t>006Rg00000aP8UEIA0</t>
  </si>
  <si>
    <t>006Rg00000apbAUIAY</t>
  </si>
  <si>
    <t>006Rg00000apbFJIAY</t>
  </si>
  <si>
    <t>006Rg00000apIfjIAE</t>
  </si>
  <si>
    <t>006Rg00000aPmZaIAK</t>
  </si>
  <si>
    <t>006Rg00000aPNBBIA4</t>
  </si>
  <si>
    <t>006Rg00000aPqhpIAC</t>
  </si>
  <si>
    <t>006Rg00000apzW9IAI</t>
  </si>
  <si>
    <t>006Rg00000aQ7AnIAK</t>
  </si>
  <si>
    <t>006Rg00000aqHJfIAM</t>
  </si>
  <si>
    <t>006Rg00000aQKsnIAG</t>
  </si>
  <si>
    <t>006Rg00000aqUuvIAE</t>
  </si>
  <si>
    <t>006Rg00000aRcGIIA0</t>
  </si>
  <si>
    <t>006Rg00000aRqp1IAC</t>
  </si>
  <si>
    <t>006Rg00000aRv8jIAC</t>
  </si>
  <si>
    <t>006Rg00000aS8VpIAK</t>
  </si>
  <si>
    <t>006Rg00000aSCkhIAG</t>
  </si>
  <si>
    <t>006Rg00000aSE9lIAG</t>
  </si>
  <si>
    <t>006Rg00000aSenQIAS</t>
  </si>
  <si>
    <t>006Rg00000aSgxHIAS</t>
  </si>
  <si>
    <t>006Rg00000aSHsQIAW</t>
  </si>
  <si>
    <t>006Rg00000aSRwbIAG</t>
  </si>
  <si>
    <t>006Rg00000aTAdbIAG</t>
  </si>
  <si>
    <t>006Rg00000aTQtdIAG</t>
  </si>
  <si>
    <t>006Rg00000aufdFIAQ</t>
  </si>
  <si>
    <t>006Rg00000aug1SIAQ</t>
  </si>
  <si>
    <t>006Rg00000auiZVIAY</t>
  </si>
  <si>
    <t>006Rg00000aUuknIAC</t>
  </si>
  <si>
    <t>006Rg00000auz5lIAA</t>
  </si>
  <si>
    <t>006Rg00000av7b7IAA</t>
  </si>
  <si>
    <t>006Rg00000aV8cTIAS</t>
  </si>
  <si>
    <t>006Rg00000av534IAA</t>
  </si>
  <si>
    <t>006Rg00000aVDHCIA4</t>
  </si>
  <si>
    <t>006Rg00000avGw9IAE</t>
  </si>
  <si>
    <t>006Rg00000aVJhZIAW</t>
  </si>
  <si>
    <t>006Rg00000aVKnKIAW</t>
  </si>
  <si>
    <t>006Rg00000avlwjIAA</t>
  </si>
  <si>
    <t>006Rg00000avQlpIAE</t>
  </si>
  <si>
    <t>006Rg00000aVQvxIAG</t>
  </si>
  <si>
    <t>006Rg00000avrquIAA</t>
  </si>
  <si>
    <t>006Rg00000avt7uIAA</t>
  </si>
  <si>
    <t>006Rg00000avTetIAE</t>
  </si>
  <si>
    <t>006Rg00000avzYHIAY</t>
  </si>
  <si>
    <t>006Rg00000aW2TOIA0</t>
  </si>
  <si>
    <t>006Rg00000aW6aDIAS</t>
  </si>
  <si>
    <t>006Rg00000aWCirIAG</t>
  </si>
  <si>
    <t>006Rg00000aXaxeIAC</t>
  </si>
  <si>
    <t>006Rg00000axfGxIAI</t>
  </si>
  <si>
    <t>006Rg00000aXlbMIAS</t>
  </si>
  <si>
    <t>006Rg00000axq7VIAQ</t>
  </si>
  <si>
    <t>006Rg00000axr0OIAQ</t>
  </si>
  <si>
    <t>006Rg00000aXUXHIA4</t>
  </si>
  <si>
    <t>006Rg00000axW7CIAU</t>
  </si>
  <si>
    <t>006Rg00000axWVPIA2</t>
  </si>
  <si>
    <t>006Rg00000ay1HRIAY</t>
  </si>
  <si>
    <t>006Rg00000ay9GbIAI</t>
  </si>
  <si>
    <t>006Rg00000ay926IAA</t>
  </si>
  <si>
    <t>006Rg00000aYALBIA4</t>
  </si>
  <si>
    <t>006Rg00000ayLrFIAU</t>
  </si>
  <si>
    <t>006Rg00000ayrRJIAY</t>
  </si>
  <si>
    <t>006Rg00000aYUAEIA4</t>
  </si>
  <si>
    <t>006Rg00000ayuH7IAI</t>
  </si>
  <si>
    <t>006Rg00000aYUJtIAO</t>
  </si>
  <si>
    <t>006Rg00000aYVr4IAG</t>
  </si>
  <si>
    <t>006Rg00000ayxbaIAA</t>
  </si>
  <si>
    <t>006Rg00000ayysbIAA</t>
  </si>
  <si>
    <t>006Rg00000azC2kIAE</t>
  </si>
  <si>
    <t>006Rg00000azIhdIAE</t>
  </si>
  <si>
    <t>006Rg00000b0pjaIAA</t>
  </si>
  <si>
    <t>006Rg00000b0xPPIAY</t>
  </si>
  <si>
    <t>006Rg00000b0yQJIAY</t>
  </si>
  <si>
    <t>006Rg00000b1D2mIAE</t>
  </si>
  <si>
    <t>006Rg00000b1EtFIAU</t>
  </si>
  <si>
    <t>006Rg00000b1KYsIAM</t>
  </si>
  <si>
    <t>006Rg00000b1lcIIAQ</t>
  </si>
  <si>
    <t>006Rg00000b1VcMIAU</t>
  </si>
  <si>
    <t>006Rg00000b3loJIAQ</t>
  </si>
  <si>
    <t>006Rg00000b3oRCIAY</t>
  </si>
  <si>
    <t>006Rg00000b3qWGIAY</t>
  </si>
  <si>
    <t>006Rg00000b3RmMIAU</t>
  </si>
  <si>
    <t>006Rg00000b3VgJIAU</t>
  </si>
  <si>
    <t>006Rg00000b3w8bIAA</t>
  </si>
  <si>
    <t>006Rg00000b3XIJIA2</t>
  </si>
  <si>
    <t>006Rg00000b4kerIAA</t>
  </si>
  <si>
    <t>006Rg00000b4TsXIAU</t>
  </si>
  <si>
    <t>006Rg00000b4u37IAA</t>
  </si>
  <si>
    <t>006Rg00000b6BLUIA2</t>
  </si>
  <si>
    <t>006Rg00000b6HorIAE</t>
  </si>
  <si>
    <t>006Rg00000b6k4VIAQ</t>
  </si>
  <si>
    <t>006Rg00000b6L4TIAU</t>
  </si>
  <si>
    <t>006Rg00000b6o3FIAQ</t>
  </si>
  <si>
    <t>006Rg00000b6QdgIAE</t>
  </si>
  <si>
    <t>006Rg00000b7BB7IAM</t>
  </si>
  <si>
    <t>006Rg00000b7h4XIAQ</t>
  </si>
  <si>
    <t>006Rg00000b7REHIA2</t>
  </si>
  <si>
    <t>006Rg00000b7snyIAA</t>
  </si>
  <si>
    <t>006Rg00000b12AXIAY</t>
  </si>
  <si>
    <t>006Rg00000b42AoIAI</t>
  </si>
  <si>
    <t>006Rg00000b46pWIAQ</t>
  </si>
  <si>
    <t>006Rg00000b47QbIAI</t>
  </si>
  <si>
    <t>006Rg00000b75s5IAA</t>
  </si>
  <si>
    <t>006Rg00000b111dIAA</t>
  </si>
  <si>
    <t>006Rg00000b738lIAA</t>
  </si>
  <si>
    <t>006Rg00000ba5FCIAY</t>
  </si>
  <si>
    <t>006Rg00000bac6LIAQ</t>
  </si>
  <si>
    <t>006Rg00000baVuPIAU</t>
  </si>
  <si>
    <t>006Rg00000bI5vCIAS</t>
  </si>
  <si>
    <t xml:space="preserve">Definition </t>
  </si>
  <si>
    <t>Rate objectively &gt;$2.30/gal residential OR explicit rejection. Does NOT include total economics where fees are killer (that's 4C).</t>
  </si>
  <si>
    <t>Fees breaking economics on offers Superior DOES provide. Primary for low-volume MUC/rental issues. v5.5: Includes Ontario $199 TSSA 10-year inspection when customer objects.</t>
  </si>
  <si>
    <t>Fixed vs variable, no pre-buy, Year-2 uncertainty, rate caps, min consumption</t>
  </si>
  <si>
    <t>Cancellation/exit ($500/$250 tiered Ontario + $250 equipment removal), payment/billing terms</t>
  </si>
  <si>
    <t>Volume-gated, auto-delivery gate, credit gate, discount too small. v5.5 NEW TRIGGER: Referral discount is one-way - referrer gets credit but new customer does not. 'Do we get any discounts for being referred?' indicates confusion.</t>
  </si>
  <si>
    <t>ONLY for offers Superior structurally does NOT provide (no 100lb cylinders, no RV, no food truck TSSA, service area limits). NOT for oil (Superior sells oil). NOT for low-volume customers where fees just make it uneconomical (that's 4C).</t>
  </si>
  <si>
    <t>Row Labels</t>
  </si>
  <si>
    <t>Column Labels</t>
  </si>
  <si>
    <t xml:space="preserve">006Rg00000a7mG5IAI </t>
  </si>
  <si>
    <t xml:space="preserve"> — </t>
  </si>
  <si>
    <t xml:space="preserve"> —</t>
  </si>
  <si>
    <t xml:space="preserve">006Rg00000a7oMmIAI </t>
  </si>
  <si>
    <t xml:space="preserve"> 4B </t>
  </si>
  <si>
    <t xml:space="preserve"> Yes </t>
  </si>
  <si>
    <t xml:space="preserve"> inspection/objection </t>
  </si>
  <si>
    <t xml:space="preserve"> friction </t>
  </si>
  <si>
    <t xml:space="preserve"> Medium </t>
  </si>
  <si>
    <t xml:space="preserve">006Rg00000a7ONSIA2 </t>
  </si>
  <si>
    <t xml:space="preserve">006Rg00000a7VrzIAE </t>
  </si>
  <si>
    <t xml:space="preserve">006Rg00000a7Ww6IAE </t>
  </si>
  <si>
    <t xml:space="preserve"> 4A </t>
  </si>
  <si>
    <t xml:space="preserve"> high-rate </t>
  </si>
  <si>
    <t xml:space="preserve"> hard_blocker </t>
  </si>
  <si>
    <t xml:space="preserve"> High </t>
  </si>
  <si>
    <t xml:space="preserve">006Rg00000a7zejIAA </t>
  </si>
  <si>
    <t xml:space="preserve">006Rg00000a7ZtxIAE </t>
  </si>
  <si>
    <t xml:space="preserve">006Rg00000a05e7IAA </t>
  </si>
  <si>
    <t xml:space="preserve">006Rg00000a89fiIAA </t>
  </si>
  <si>
    <t xml:space="preserve"> 4E </t>
  </si>
  <si>
    <t xml:space="preserve"> equipment </t>
  </si>
  <si>
    <t xml:space="preserve">006Rg00000aA1FrIAK </t>
  </si>
  <si>
    <t xml:space="preserve">006Rg00000aA7TJIA0 </t>
  </si>
  <si>
    <t xml:space="preserve">006Rg00000aABQTIA4 </t>
  </si>
  <si>
    <t xml:space="preserve">006Rg00000aAbsoIAC </t>
  </si>
  <si>
    <t xml:space="preserve">006Rg00000aAF5wIAG </t>
  </si>
  <si>
    <t xml:space="preserve">006Rg00000aAkMdIAK </t>
  </si>
  <si>
    <t xml:space="preserve">006Rg00000aAtMgIAK </t>
  </si>
  <si>
    <t xml:space="preserve">006Rg00000aAyfkIAC </t>
  </si>
  <si>
    <t xml:space="preserve">006Rg00000aBAvRIAW </t>
  </si>
  <si>
    <t xml:space="preserve">006Rg00000aBfSvIAK </t>
  </si>
  <si>
    <t xml:space="preserve">006Rg00000aBomOIAS </t>
  </si>
  <si>
    <t xml:space="preserve"> 4F </t>
  </si>
  <si>
    <t xml:space="preserve"> prior-offer </t>
  </si>
  <si>
    <t xml:space="preserve">006Rg00000adbuDIAQ </t>
  </si>
  <si>
    <t xml:space="preserve">006Rg00000adduRIAQ </t>
  </si>
  <si>
    <t xml:space="preserve">006Rg00000adf1lIAA </t>
  </si>
  <si>
    <t xml:space="preserve">006Rg00000adf6dIAA </t>
  </si>
  <si>
    <t xml:space="preserve">006Rg00000adoZiIAI </t>
  </si>
  <si>
    <t xml:space="preserve">006Rg00000aDtmjIAC </t>
  </si>
  <si>
    <t xml:space="preserve">006Rg00000adXk9IAE </t>
  </si>
  <si>
    <t xml:space="preserve"> timeline </t>
  </si>
  <si>
    <t xml:space="preserve">006Rg00000aDXmHIAW </t>
  </si>
  <si>
    <t xml:space="preserve">006Rg00000adZafIAE </t>
  </si>
  <si>
    <t xml:space="preserve">006Rg00000ae7jBIAQ </t>
  </si>
  <si>
    <t xml:space="preserve">006Rg00000aEDK3IAO </t>
  </si>
  <si>
    <t xml:space="preserve">006Rg00000aEjBqIAK </t>
  </si>
  <si>
    <t xml:space="preserve">006Rg00000aeSk1IAE </t>
  </si>
  <si>
    <t xml:space="preserve">006Rg00000aETDVIA4 </t>
  </si>
  <si>
    <t xml:space="preserve">006Rg00000agaggIAA </t>
  </si>
  <si>
    <t xml:space="preserve">006Rg00000aGe4pIAC </t>
  </si>
  <si>
    <t xml:space="preserve">006Rg00000agkGFIAY </t>
  </si>
  <si>
    <t xml:space="preserve">006Rg00000aGpBVIA0 </t>
  </si>
  <si>
    <t xml:space="preserve">006Rg00000agRIQIA2 </t>
  </si>
  <si>
    <t xml:space="preserve">006Rg00000aGscRIAS </t>
  </si>
  <si>
    <t xml:space="preserve">006Rg00000ah5BDIAY </t>
  </si>
  <si>
    <t xml:space="preserve">006Rg00000ahdivIAA </t>
  </si>
  <si>
    <t xml:space="preserve">006Rg00000aHJvxIAG </t>
  </si>
  <si>
    <t xml:space="preserve"> 4D </t>
  </si>
  <si>
    <t xml:space="preserve"> exit-terms </t>
  </si>
  <si>
    <t xml:space="preserve">006Rg00000ahpXDIAY </t>
  </si>
  <si>
    <t xml:space="preserve">006Rg00000ahv37IAA </t>
  </si>
  <si>
    <t xml:space="preserve">006Rg00000ajNesIAE </t>
  </si>
  <si>
    <t xml:space="preserve">006Rg00000ajupLIAQ </t>
  </si>
  <si>
    <t xml:space="preserve">006Rg00000ajZZbIAM </t>
  </si>
  <si>
    <t xml:space="preserve"> competitor-rate </t>
  </si>
  <si>
    <t xml:space="preserve">006Rg00000akFSLIA2 </t>
  </si>
  <si>
    <t xml:space="preserve">006Rg00000akMnBIAU </t>
  </si>
  <si>
    <t xml:space="preserve">006Rg00000akpQzIAI </t>
  </si>
  <si>
    <t xml:space="preserve"> mention_only </t>
  </si>
  <si>
    <t xml:space="preserve">006Rg00000akv5AIAQ </t>
  </si>
  <si>
    <t xml:space="preserve">006Rg00000aKwPhIAK </t>
  </si>
  <si>
    <t xml:space="preserve">006Rg00000aLkxaIAC </t>
  </si>
  <si>
    <t xml:space="preserve"> rental/objection </t>
  </si>
  <si>
    <t xml:space="preserve">006Rg00000aLn1UIAS </t>
  </si>
  <si>
    <t xml:space="preserve">006Rg00000aLyYuIAK </t>
  </si>
  <si>
    <t xml:space="preserve">006Rg00000aM4mbIAC </t>
  </si>
  <si>
    <t xml:space="preserve">006Rg00000aM9HdIAK </t>
  </si>
  <si>
    <t xml:space="preserve">006Rg00000aMejdIAC </t>
  </si>
  <si>
    <t xml:space="preserve">006Rg00000aMG7rIAG </t>
  </si>
  <si>
    <t xml:space="preserve">Opp ID </t>
  </si>
  <si>
    <t xml:space="preserve"> Code </t>
  </si>
  <si>
    <t xml:space="preserve"> Primary </t>
  </si>
  <si>
    <t xml:space="preserve"> Qualifier </t>
  </si>
  <si>
    <t xml:space="preserve"> Disposition </t>
  </si>
  <si>
    <t xml:space="preserve"> Confidence </t>
  </si>
  <si>
    <t xml:space="preserve"> Evidence</t>
  </si>
  <si>
    <t xml:space="preserve">006Rg00000a4cmjIAA </t>
  </si>
  <si>
    <t xml:space="preserve"> 4C </t>
  </si>
  <si>
    <t xml:space="preserve"> prebuy </t>
  </si>
  <si>
    <t xml:space="preserve"> resolved </t>
  </si>
  <si>
    <t xml:space="preserve">006Rg00000a4glWIAQ </t>
  </si>
  <si>
    <t xml:space="preserve">006Rg00000a4NXeIAM </t>
  </si>
  <si>
    <t xml:space="preserve">006Rg00000a4OLaIAM </t>
  </si>
  <si>
    <t xml:space="preserve"> delivery/objection </t>
  </si>
  <si>
    <t xml:space="preserve">006Rg00000a4z8DIAQ </t>
  </si>
  <si>
    <t xml:space="preserve">006Rg00000a5bWtIAI </t>
  </si>
  <si>
    <t xml:space="preserve">006Rg00000a5YAoIAM </t>
  </si>
  <si>
    <t xml:space="preserve"> install/objection </t>
  </si>
  <si>
    <t xml:space="preserve">006Rg00000a7clOIAQ </t>
  </si>
  <si>
    <t xml:space="preserve">006Rg00000a7ejzIAA </t>
  </si>
  <si>
    <t xml:space="preserve">006Rg00000a7iKZIAY </t>
  </si>
  <si>
    <t xml:space="preserve"> capability </t>
  </si>
  <si>
    <t xml:space="preserve">006Rg00000a7iSbIAI </t>
  </si>
  <si>
    <t xml:space="preserve">006Rg00000a7LFtIAM </t>
  </si>
  <si>
    <t xml:space="preserve"> ownership </t>
  </si>
  <si>
    <t xml:space="preserve"> payment-billing </t>
  </si>
  <si>
    <t xml:space="preserve"> current-supplier </t>
  </si>
  <si>
    <t xml:space="preserve"> Customer cited neighbor Phil's $1.99 Superior rate; rep explained tailored pricing; customer signed at $2.11 locked without concession.</t>
  </si>
  <si>
    <t xml:space="preserve"> Customer normally pre-buys 500 gal in summer; rep said pre-buy only summer, offered lump-sum credit on account; customer accepted and signed.</t>
  </si>
  <si>
    <t xml:space="preserve"> Customer proactively asked about tank pickup fee citing AmeriGas history; accepted $250 pickup fee within 3-year term and signed.</t>
  </si>
  <si>
    <t xml:space="preserve"> latent </t>
  </si>
  <si>
    <t xml:space="preserve"> Customer wanted to own tank; rep confirmed "we typically don't sell those size tanks"; opportunity ended undetermined pending daughter consult.</t>
  </si>
  <si>
    <t xml:space="preserve"> rental/economics </t>
  </si>
  <si>
    <t xml:space="preserve"> Rep disclosed $240/yr rental plus $120 MUC (~$360/yr) for ~50 gal/yr stove-only usage; customer noted budget but did not decline over fees.</t>
  </si>
  <si>
    <t xml:space="preserve"> Rep could not fill customer's owned 100lb cylinder due to truck fill pressure; 120-gal rental tank offered as alternative path.</t>
  </si>
  <si>
    <t xml:space="preserve"> Customer expected free install because friend Donald "said to take it for free"; rep said promo not currently offered; customer conceded and continued.</t>
  </si>
  <si>
    <t xml:space="preserve"> delivery </t>
  </si>
  <si>
    <t xml:space="preserve"> Customer questioned delivery fee logic given proximity of trucks; rep explained fee covers delivery not proximity; customer accepted.</t>
  </si>
  <si>
    <t xml:space="preserve"> Customer asked if rental applied toward ownership; rep confirmed rented tank only; customer said "okay" and continued engagement pending tank-ownership determination.</t>
  </si>
  <si>
    <t xml:space="preserve"> Customer wanted refills to owned 100lb cylinders; rep stated "the tank size you have we don't deliver to"; customer refused 120-gal upgrade and ended call.</t>
  </si>
  <si>
    <t xml:space="preserve"> Customer asked if Superior could transport his tanks; rep confirmed "we don't provide that service"; customer disengaged citing wheelchair constraint.</t>
  </si>
  <si>
    <t xml:space="preserve"> Customer chose COD/will-call, then reacted to $29.90 will-call delivery fee ("a little bit too much for me") and deferred despite rep pointing to cheaper $14.95 auto-fill option.</t>
  </si>
  <si>
    <t xml:space="preserve"> Customer asked about post-year-1 rental; rep confirmed $99.99/yr; customer said "I've heard enough, I'll keep you in mind" — shopping deferral, no attribute-specific rejection.</t>
  </si>
  <si>
    <t xml:space="preserve"> Customer objected to $99 safety leak-test citing budget ("don't have extra dollars"); rep waived $14.95 transportation fee and logged request to waive leak test.</t>
  </si>
  <si>
    <t xml:space="preserve"> MUC/other </t>
  </si>
  <si>
    <t xml:space="preserve"> Rental $70 plus $120 MUC disclosed for cook-only usage; customer processed "$140 a year" without pushback and proceeded through signup and contract.</t>
  </si>
  <si>
    <t xml:space="preserve"> Customer weighing buy vs lease; rep said Superior doesn't sell tanks in that area but offered COT if customer sources tank elsewhere; customer stayed engaged.</t>
  </si>
  <si>
    <t xml:space="preserve"> After hearing $4.81/gal plus $70 rental, customer computed total, said "still way more crazy... nevermind thanks" and ended the call.</t>
  </si>
  <si>
    <t xml:space="preserve"> Superior's smallest offered tank was 120 gal; customer wanted smaller like the 30-lb camper tanks others had, declined and said would try elsewhere.</t>
  </si>
  <si>
    <t xml:space="preserve"> Customer refused credit check ("we can't do that right now"); on hearing COD prepay was the alternative, deferred deal ("let's figure some stuff out... call back").</t>
  </si>
  <si>
    <t xml:space="preserve"> referral </t>
  </si>
  <si>
    <t xml:space="preserve"> Customer asked for referral credit as referred party; rep confirmed only referrer receives it; customer accepted ("still think it's cheaper than Amerigas") and continued.</t>
  </si>
  <si>
    <t xml:space="preserve"> Customer asked about hidden fees/cancellation given past Suburban experience; rep disclosed $250 tank pickup fee; customer accepted and said she'd discuss with husband.</t>
  </si>
  <si>
    <t xml:space="preserve"> delivery/other </t>
  </si>
  <si>
    <t xml:space="preserve"> Will-call fee ($29.95 vs $14.95 auto) disclosed; customer opted for automatic without pushback ("we probably do that just because... we don't have to think about it").</t>
  </si>
  <si>
    <t xml:space="preserve"> Customer asked "no surprises in this contract right?"; rep disclosed 3-year term with $500 first-year / $250 later-year termination fees; customer accepted and signed.</t>
  </si>
  <si>
    <t xml:space="preserve"> Customer stated 8-year preference for Shaw's pre-buy structure; rep confirmed Superior offers only variable or fixed, no pre-buy; customer said "nothing's tempted me" and deferred decision.</t>
  </si>
  <si>
    <t xml:space="preserve"> Customer cited neighbor Mike's $1.61 Superior rate; rep explained rates vary by usage/location and no active promo; customer accepted answer and moved on.</t>
  </si>
  <si>
    <t xml:space="preserve"> Customer had no heat after prior supplier removed tank; rep quoted 1-2 week install; customer reacted "wow" and said next calls would be to former supplier and attorney.</t>
  </si>
  <si>
    <t xml:space="preserve"> Customer said "would just prefer to buy a tank"; rep confirmed tanks not sold in this area; customer accepted "if you don't do it you don't do it" and continued.</t>
  </si>
  <si>
    <t xml:space="preserve"> threshold </t>
  </si>
  <si>
    <t xml:space="preserve"> Customer asked about $500 switch promo; ineligible due to low seasonal usage; customer replied "not really concerned about the promo cost."</t>
  </si>
  <si>
    <t xml:space="preserve"> Customer has no heat after prior supplier removed tank; reacted "one to two weeks install wow" and said next calls would be to another company; deal stalled pending faster timeline.</t>
  </si>
  <si>
    <t xml:space="preserve"> Customer stated preference to buy tank; rep confirmed tanks not sold in this area; customer accepted "if you don't do it you don't do it" and continued.</t>
  </si>
  <si>
    <t xml:space="preserve"> commitment-length </t>
  </si>
  <si>
    <t xml:space="preserve"> Customer questioned 3-year term ("engaged here"); rep explained cancellation policy; customer accepted and continued discussion.</t>
  </si>
  <si>
    <t xml:space="preserve"> Customer asked about $500 switch promo; ineligible due to low seasonal usage; customer said "not really concerned about the promo cost."</t>
  </si>
  <si>
    <t xml:space="preserve"> Customer pushed back on $99 safety inspection ("I've had a hundred of them done already") and said he'd get back; returned same day and signed without concession.</t>
  </si>
  <si>
    <t xml:space="preserve"> Customer flagged termination clause; rep accurately explained it does not apply to customer-owned tanks; customer signed.</t>
  </si>
  <si>
    <t xml:space="preserve"> Customer stated preference to keep twin tanks rather than install 500-gallon; rep accepted the preference and deal continued pending customer's readiness.</t>
  </si>
  <si>
    <t xml:space="preserve"> Customer raised 3-year term concern for house flip; rep explained term does not apply since he won't be living at property; customer accepted.</t>
  </si>
  <si>
    <t xml:space="preserve"> Customer explored will-call to avoid credit check; rep disclosed COD delivery fee is $29.90 vs $14.95 automatic; customer chose credit check and proceeded.</t>
  </si>
  <si>
    <t xml:space="preserve"> monitoring/objection </t>
  </si>
  <si>
    <t xml:space="preserve"> Customer asked about $15/mo tank monitor fee; said "if not I'll just do we'll call it"; rep said local office may waive; customer signed without concession.</t>
  </si>
  <si>
    <t xml:space="preserve"> Customer cited Ferrellgas at $1.71 vs Superior $1.73; customer proceeded citing proximity and service reliability as reasons to switch.</t>
  </si>
  <si>
    <t xml:space="preserve"> 3-year agreement discussed; customer noted he could effectively cancel by using another supplier; rep acknowledged; customer signed and proceeded.</t>
  </si>
  <si>
    <t xml:space="preserve"> Customer asked whether tanks were sold or rented; rep confirmed lease only; customer accepted "sounds like a very good deal" and asked follow-up questions to proceed.</t>
  </si>
  <si>
    <t xml:space="preserve"> Customer cited friend Louis's $1.76/gal Superior quote as reason for calling; agent explained $1.76 was tied to friend's 460 gal/yr usage bracket unavailable at his summer-only camper usage; customer disengaged, unresponsive to two follow-up voicemails.</t>
  </si>
  <si>
    <t xml:space="preserve"> Customer asked "I would wanna do a pre by?" (Seg 1); rep did not confirm pre-buy availability and stall was driven by spouse consultation, not the offer attribute.</t>
  </si>
  <si>
    <t xml:space="preserve"> stack </t>
  </si>
  <si>
    <t xml:space="preserve"> After reading agreement customer said "hidden fees everywhere. Like fees for monitoring fees for delivery fees for billing freeze" (Seg 1) and refused to sign, choosing to keep shopping.</t>
  </si>
  <si>
    <t xml:space="preserve"> "termination fees are just insane. It's like five hundred dollars"; "I don't wanna get screwed with like a five hundred dollar removal fee" (Seg 1); customer, uncertain about long-term pool use, walked to avoid exit exposure.</t>
  </si>
  <si>
    <t xml:space="preserve"> Seasonal Apr–Oct rental cabin below 125 gal MUC threshold makes lease uneconomical ($70 rental + $120 MUC ˜ $190/yr) (Seg 1); customer only proceeded by purchasing a 200-lb tank instead of leasing.</t>
  </si>
  <si>
    <t xml:space="preserve"> Customer stated "you guys are roughly sixty cents higher dalen than the other companies are probably... i'm gonna have to pass" (Seg 1) and ended the call.</t>
  </si>
  <si>
    <t xml:space="preserve"> Customer said "i'm looking to prebuy"; rep confirmed no pre-buy is offered, offered fixed rate as substitute; customer accepted the substitute framing and declined on rate, not on the missing pre-buy.</t>
  </si>
  <si>
    <t xml:space="preserve"> Customer noted "I pretty by my propane... before the summer" with current supplier (Seg 2); rep confirmed no pre-buy, offered fixed-rate lock; customer proceeded to sign the agreement without further resistance.</t>
  </si>
  <si>
    <t xml:space="preserve">006Rg00000akSSnIAM </t>
  </si>
  <si>
    <t xml:space="preserve"> Agent first offered 120-gal as smallest; customer said "too big"; agent then confirmed 60-gal tank in stock, closing the equipment size gap.</t>
  </si>
  <si>
    <t xml:space="preserve"> Customer heard $70/yr rental after first year with her seasonal ~73 gal/yr usage; did not object; deferred to check tank and consult another party.</t>
  </si>
  <si>
    <t xml:space="preserve"> Customer surprised by install fee ("I thought they were just putting it in place"); accepted "nothing I can do about it now" and completed docusign.</t>
  </si>
  <si>
    <t xml:space="preserve"> Customer declined stating "the company I have now does not charge a rental fee for the tank," rejecting $99.99/yr rental after first year.</t>
  </si>
  <si>
    <t xml:space="preserve"> Customer asked about termination fees framed around service/price scenarios; rep disclosed $500/$300; customer said she doesn't switch frequently and proceeded through credit check.</t>
  </si>
  <si>
    <t xml:space="preserve"> complexity </t>
  </si>
  <si>
    <t xml:space="preserve"> insufficient_evidence </t>
  </si>
  <si>
    <t xml:space="preserve"> Low </t>
  </si>
  <si>
    <t xml:space="preserve"> Rep's Seg 2 voicemail said agreement was "difficult" for customer; her specific verbatim objection to the contract is not captured across any segment.</t>
  </si>
  <si>
    <t xml:space="preserve"> Customer reacted "$400 a year, no" to $35.99/mo VT tank rental; agent deferred to loyalty-team waiver; customer proceeded through credit check but did not sign docusign.</t>
  </si>
  <si>
    <t xml:space="preserve"> Customer asked twice for pre-buy; rep confirmed only fixed or variable available; customer accepted variable rate and signed docusign.</t>
  </si>
  <si>
    <t xml:space="preserve"> Rep said "we do not have capacity for trenching at this location"; customer had own contractor to trench and proceeded with account setup.</t>
  </si>
  <si>
    <t xml:space="preserve"> Rep disclosed 3-year lease with $500 first-year / $250 remaining-years cancellation fees; customer accepted and signed docusign.</t>
  </si>
  <si>
    <t xml:space="preserve"> 120-gal tank $70 rental + $120 MUC if under 125 gal/yr + $29.99 will-call fee rival low seasonal camp usage; hold-off driven by dad's death, competing non-offer cause.</t>
  </si>
  <si>
    <t xml:space="preserve"> Cook-only ~3-5 gal/month = 36-60 gal/yr falls below 125-gal MUC threshold and 200-gal rental-waiver; $70+$120 fixed fees rival annual fuel; quote saved on file, undetermined.</t>
  </si>
  <si>
    <t xml:space="preserve">006Rg00000amMcfIAE </t>
  </si>
  <si>
    <t xml:space="preserve">006Rg00000ammVRIAY </t>
  </si>
  <si>
    <t xml:space="preserve">006Rg00000aMnYPIA0 </t>
  </si>
  <si>
    <t xml:space="preserve">006Rg00000aMSiUIAW </t>
  </si>
  <si>
    <t xml:space="preserve"> rate-mechanism </t>
  </si>
  <si>
    <t xml:space="preserve"> Customer surfaced lock-in expectation from friend's info ("you gotta use 600 gallons I used a thousand"); rep quoted variable $2.39 only; she absorbed and signed without pursuing.</t>
  </si>
  <si>
    <t xml:space="preserve"> Customer misread rental as "$400 a year after year one"; rep corrected to 400-gallon usage waiver threshold; she said "looking pretty good" and signed.</t>
  </si>
  <si>
    <t xml:space="preserve">006Rg00000aMuwTIAS </t>
  </si>
  <si>
    <t xml:space="preserve">006Rg00000aMVy5IAG </t>
  </si>
  <si>
    <t xml:space="preserve"> Customer asked whether $1.75 was a start-up rate that "goes up from there"; rep said it would likely hold ~3 years; customer said "Wow" and moved to promo discussion.</t>
  </si>
  <si>
    <t xml:space="preserve">006Rg00000aN0HAIA0 </t>
  </si>
  <si>
    <t xml:space="preserve"> policy-gate </t>
  </si>
  <si>
    <t xml:space="preserve"> Customer refused hard credit pull citing pending house purchase; deal continued via prebuy path, forgoing the $500 credit-gated promo.</t>
  </si>
  <si>
    <t xml:space="preserve">006Rg00000aNApyIAG </t>
  </si>
  <si>
    <t xml:space="preserve"> Rep quoted $2.16 variable / $2.31 fixed; customer said "that's more than i'm paying right now" and ended the call with "I can beat that though thank you bye."</t>
  </si>
  <si>
    <t xml:space="preserve">006Rg00000aNDavIAG </t>
  </si>
  <si>
    <t xml:space="preserve"> Customer said "what I don't have from you guys is really the follow on pricing"; rep confirmed variable and everyone differs; customer accepted year-1 lock and continued reviewing.</t>
  </si>
  <si>
    <t xml:space="preserve">006Rg00000anFCTIA2 </t>
  </si>
  <si>
    <t xml:space="preserve">006Rg00000aNH3SIAW </t>
  </si>
  <si>
    <t xml:space="preserve">006Rg00000any4jIAA </t>
  </si>
  <si>
    <t xml:space="preserve">006Rg00000aOg8LIAS </t>
  </si>
  <si>
    <t xml:space="preserve">006Rg00000aOrBMIA0 </t>
  </si>
  <si>
    <t xml:space="preserve">006Rg00000aOsH3IAK </t>
  </si>
  <si>
    <t xml:space="preserve"> timing </t>
  </si>
  <si>
    <t xml:space="preserve"> Customer noted promo ends end of April; deferred because "I have quite a bit of propane" and would "file this card until the tank is down" — competing cause was own inventory.</t>
  </si>
  <si>
    <t xml:space="preserve">006Rg00000aP0zOIAS </t>
  </si>
  <si>
    <t xml:space="preserve">006Rg00000aP7CuIAK </t>
  </si>
  <si>
    <t xml:space="preserve"> Customer needed 48-gallon (200 lb) tank per campground rule; rep confirmed smallest available is [MASKED]-gallon; customer ended call on that basis.</t>
  </si>
  <si>
    <t>Code Name</t>
  </si>
  <si>
    <t>4A. Rate Uncompetitive</t>
  </si>
  <si>
    <t>4C. Commercial Model</t>
  </si>
  <si>
    <t>4D</t>
  </si>
  <si>
    <t>4D. Contract Mechanics</t>
  </si>
  <si>
    <t>4E. Availability / Serviceability</t>
  </si>
  <si>
    <t>Key</t>
  </si>
  <si>
    <t xml:space="preserve">Count of Opp ID </t>
  </si>
  <si>
    <t>(Multiple Items)</t>
  </si>
  <si>
    <t xml:space="preserve"> Rate </t>
  </si>
  <si>
    <t xml:space="preserve">006Rg00000aP8UEIA0 </t>
  </si>
  <si>
    <t xml:space="preserve"> 1.93/gal </t>
  </si>
  <si>
    <t xml:space="preserve">006Rg00000apbAUIAY </t>
  </si>
  <si>
    <t xml:space="preserve"> Customer wanted to purchase own tank; rep confirmed "we don't sell our tanks... not at this location"; customer went with alternate supplier.</t>
  </si>
  <si>
    <t xml:space="preserve">006Rg00000apbFJIAY </t>
  </si>
  <si>
    <t xml:space="preserve"> 3.29/gal </t>
  </si>
  <si>
    <t xml:space="preserve">006Rg00000apIfjIAE </t>
  </si>
  <si>
    <t xml:space="preserve"> 2.04V/2.15F/gal </t>
  </si>
  <si>
    <t xml:space="preserve"> Customer's current supplier suddenly matched Superior's contract they previously refused; customer stayed with incumbent.</t>
  </si>
  <si>
    <t xml:space="preserve">006Rg00000aPmZaIAK </t>
  </si>
  <si>
    <t xml:space="preserve"> 2.12/gal </t>
  </si>
  <si>
    <t xml:space="preserve"> other </t>
  </si>
  <si>
    <t xml:space="preserve"> Customer noted parity with existing-customer lock rate: "same as me then. So I'm not getting any kind of special discount"; absorbed and signed at $2.12 fixed.</t>
  </si>
  <si>
    <t xml:space="preserve"> Customer feared year-2 rate could jump (e.g., $3.49/gal); rep explained price-cap protection; customer accepted "there's some consumer protection in there".</t>
  </si>
  <si>
    <t xml:space="preserve">006Rg00000aPNBBIA4 </t>
  </si>
  <si>
    <t xml:space="preserve"> 2.181 ? 2.04/gal </t>
  </si>
  <si>
    <t xml:space="preserve"> Customer uses ~250 gal/yr, below 400-gal waiver; will pay $99 rental; noted strategy to push usage over threshold; proceeded and signed.</t>
  </si>
  <si>
    <t xml:space="preserve"> Customer asked if Superior sells tanks and about self-install path; rep said office doesn't sell tanks; customer proceeded with lease.</t>
  </si>
  <si>
    <t xml:space="preserve">006Rg00000aPqhpIAC </t>
  </si>
  <si>
    <t xml:space="preserve"> All three segments are agent voicemails; no customer engagement on record; nothing evidentiary on any offer attribute.</t>
  </si>
  <si>
    <t xml:space="preserve">006Rg00000apzW9IAI </t>
  </si>
  <si>
    <t xml:space="preserve"> 2.04V/2.18F/gal </t>
  </si>
  <si>
    <t xml:space="preserve"> Trenching fee ($165/hr over 2 hrs) undetermined without site visit; customer expressed distrust of "hidden fees" and deferred decision to next week pending written fee schedule.</t>
  </si>
  <si>
    <t xml:space="preserve">006Rg00000aQ7AnIAK </t>
  </si>
  <si>
    <t xml:space="preserve"> 2.09/gal </t>
  </si>
  <si>
    <t xml:space="preserve"> Customer uses ~300 gal/yr, below 400-gal waiver; will pay $99 annual rental on 250 tank; acknowledged and signed agreement.</t>
  </si>
  <si>
    <t xml:space="preserve"> Customer, a renter, asked about 3-year agreement liability; rep clarified exceptions for landlord-forced removals; customer proceeded and signed.</t>
  </si>
  <si>
    <t xml:space="preserve">006Rg00000aqHJfIAM </t>
  </si>
  <si>
    <t xml:space="preserve"> 1.74/gal </t>
  </si>
  <si>
    <t xml:space="preserve"> Customer wanted a pre-commitment site assessment; Superior requires account creation (shell account still needs signed T&amp;C); customer chose competitor offering assessment first.</t>
  </si>
  <si>
    <t xml:space="preserve">006Rg00000aQKsnIAG </t>
  </si>
  <si>
    <t xml:space="preserve"> 2.28/gal </t>
  </si>
  <si>
    <t xml:space="preserve"> Customer has no home internet; Superior only accepts DocuSign, no paper contracts; caused multiple callbacks and a threatened walk before customer signed via friend's computer.</t>
  </si>
  <si>
    <t xml:space="preserve">006Rg00000aqUuvIAE </t>
  </si>
  <si>
    <t xml:space="preserve"> 1.85/gal </t>
  </si>
  <si>
    <t xml:space="preserve">006Rg00000aRcGIIA0 </t>
  </si>
  <si>
    <t xml:space="preserve"> 1.79/gal </t>
  </si>
  <si>
    <t xml:space="preserve">006Rg00000aRqp1IAC </t>
  </si>
  <si>
    <t xml:space="preserve"> 1.82/gal </t>
  </si>
  <si>
    <t xml:space="preserve"> process </t>
  </si>
  <si>
    <t xml:space="preserve"> Attorney customer refused signing 3-year contract before site visit; escalation to management produced separate email confirming contract voids without penalty if no tank installed.</t>
  </si>
  <si>
    <t xml:space="preserve">006Rg00000aRv8jIAC </t>
  </si>
  <si>
    <t xml:space="preserve"> 1.86/gal </t>
  </si>
  <si>
    <t xml:space="preserve">006Rg00000aS8VpIAK </t>
  </si>
  <si>
    <t xml:space="preserve"> Customer surprised transportation fee not built into propane price; agent explained $14.95 auto-delivery fee replaced prior $21.58 recovery; customer accepted and proceeded.</t>
  </si>
  <si>
    <t xml:space="preserve"> 25-year customer voiced frustration at required e-signing ("why you don't trust me to do this"); struggled with DocuSign on phone but completed signing without concession.</t>
  </si>
  <si>
    <t xml:space="preserve">006Rg00000aSCkhIAG </t>
  </si>
  <si>
    <t xml:space="preserve">006Rg00000aSE9lIAG </t>
  </si>
  <si>
    <t xml:space="preserve"> 2.[MASKED]/gal </t>
  </si>
  <si>
    <t xml:space="preserve">006Rg00000aSenQIAS </t>
  </si>
  <si>
    <t xml:space="preserve">006Rg00000aSgxHIAS </t>
  </si>
  <si>
    <t xml:space="preserve"> 1.65/gal </t>
  </si>
  <si>
    <t xml:space="preserve"> Customer accepted rate/delivery but pushed back on install fee; rep pivoted to credit-check promo pathway waiving install and tank rental plus $250 credit to preserve deal.</t>
  </si>
  <si>
    <t xml:space="preserve"> MUC/objection </t>
  </si>
  <si>
    <t xml:space="preserve"> Customer worried usage may not hit 100gal minimum given seasonal 6-month use; rep confirmed minimum-use charge is zero, correcting the premise; customer proceeded to spousal decision.</t>
  </si>
  <si>
    <t xml:space="preserve">006Rg00000aSHsQIAW </t>
  </si>
  <si>
    <t xml:space="preserve"> 1.87/gal </t>
  </si>
  <si>
    <t xml:space="preserve">006Rg00000aSRwbIAG </t>
  </si>
  <si>
    <t xml:space="preserve"> 2.26V/2.40F/gal </t>
  </si>
  <si>
    <t xml:space="preserve"> Customer worried about not consuming 100gal over seasonal 6-month use; rep confirmed minimum-use charges set to zero on first bill onward, correcting premise; customer signed contract.</t>
  </si>
  <si>
    <t xml:space="preserve">006Rg00000aTAdbIAG </t>
  </si>
  <si>
    <t xml:space="preserve"> 2.40/gal </t>
  </si>
  <si>
    <t xml:space="preserve">006Rg00000aTQtdIAG </t>
  </si>
  <si>
    <t xml:space="preserve"> 1.70/gal </t>
  </si>
  <si>
    <t xml:space="preserve">006Rg00000aufdFIAQ </t>
  </si>
  <si>
    <t xml:space="preserve">006Rg00000aug1SIAQ </t>
  </si>
  <si>
    <t xml:space="preserve"> 2.19/gal </t>
  </si>
  <si>
    <t xml:space="preserve">006Rg00000auiZVIAY </t>
  </si>
  <si>
    <t xml:space="preserve"> 2.47V/2.61F/gal </t>
  </si>
  <si>
    <t xml:space="preserve"> Customer asked about $250+$250 promo he saw online; rep said doesn't apply because it's for customers using 400+ gal/year; customer said "got it, big homes and stuff" and continued.</t>
  </si>
  <si>
    <t xml:space="preserve">006Rg00000aUuknIAC </t>
  </si>
  <si>
    <t xml:space="preserve"> 1.99/gal </t>
  </si>
  <si>
    <t xml:space="preserve">006Rg00000auz5lIAA </t>
  </si>
  <si>
    <t xml:space="preserve"> 1.59/gal </t>
  </si>
  <si>
    <t xml:space="preserve"> Customer expected Superior would swap their 100-lb Suburban cylinders; rep corrected — Superior only installs 120-gal-and-above tanks, not cylinders; customer accepted 120-gal tank alternative and signed contract.</t>
  </si>
  <si>
    <t xml:space="preserve">006Rg00000av7b7IAA </t>
  </si>
  <si>
    <t xml:space="preserve">006Rg00000aV8cTIAS </t>
  </si>
  <si>
    <t xml:space="preserve"> Rep gated appointment confirmation on signed agreement ("I cannot confirm any appointments until that is received"); customer pushed back but ultimately signed and proceeded.</t>
  </si>
  <si>
    <t xml:space="preserve">006Rg00000av534IAA </t>
  </si>
  <si>
    <t xml:space="preserve"> 1.77/gal </t>
  </si>
  <si>
    <t xml:space="preserve"> Customer said "I can't guarantee we're gonna be there for three years"; rep confirmed 3-year minimum with no shorter option; customer accepted and signed.</t>
  </si>
  <si>
    <t xml:space="preserve">006Rg00000aVDHCIA4 </t>
  </si>
  <si>
    <t xml:space="preserve"> 2.29/gal </t>
  </si>
  <si>
    <t xml:space="preserve">006Rg00000avGw9IAE </t>
  </si>
  <si>
    <t xml:space="preserve"> Customer told $[MASKED] standard install fee reacted "I think that's a lot of money just for installation" and ended the call to shop elsewhere.</t>
  </si>
  <si>
    <t xml:space="preserve">006Rg00000aVJhZIAW </t>
  </si>
  <si>
    <t xml:space="preserve"> 2.08/1.749/gal </t>
  </si>
  <si>
    <t xml:space="preserve"> Customer said "it's weird that it's different prices... I just assume it'd be a straight price because we own the tanks"; accepted explanation but plans to shop further.</t>
  </si>
  <si>
    <t xml:space="preserve">006Rg00000aVKnKIAW </t>
  </si>
  <si>
    <t xml:space="preserve">006Rg00000avlwjIAA </t>
  </si>
  <si>
    <t xml:space="preserve"> 1.91/gal </t>
  </si>
  <si>
    <t xml:space="preserve">006Rg00000avQlpIAE </t>
  </si>
  <si>
    <t xml:space="preserve"> Rep disclosed $120/year MUC for cook-stove-only seasonal use; customer replied "Ok that's ok" and continued to have son call back.</t>
  </si>
  <si>
    <t xml:space="preserve">006Rg00000aVQvxIAG </t>
  </si>
  <si>
    <t xml:space="preserve">006Rg00000avrquIAA </t>
  </si>
  <si>
    <t xml:space="preserve">006Rg00000avt7uIAA </t>
  </si>
  <si>
    <t xml:space="preserve"> 2.12/1.71/gal </t>
  </si>
  <si>
    <t xml:space="preserve"> Customer reacted "Oh wow" to $40/month generator tank rental but accepted, signed contract, and proceeded to site visit scheduling.</t>
  </si>
  <si>
    <t xml:space="preserve"> Customer challenged signing before site visit ("almost like a done deal"); rep clarified contract only valid post-install; customer accepted and signed.</t>
  </si>
  <si>
    <t xml:space="preserve">006Rg00000avTetIAE </t>
  </si>
  <si>
    <t xml:space="preserve"> install/economics </t>
  </si>
  <si>
    <t xml:space="preserve"> Voicemail states customer must excavate incumbent's underground tank and purchase Superior underground tank at ~$5,900 to switch; customer response not captured.</t>
  </si>
  <si>
    <t xml:space="preserve">006Rg00000avzYHIAY </t>
  </si>
  <si>
    <t xml:space="preserve">006Rg00000aW2TOIA0 </t>
  </si>
  <si>
    <t xml:space="preserve"> stack/objection </t>
  </si>
  <si>
    <t xml:space="preserve">006Rg00000aW6aDIAS </t>
  </si>
  <si>
    <t xml:space="preserve"> 1.78/gal </t>
  </si>
  <si>
    <t xml:space="preserve">006Rg00000aWCirIAG </t>
  </si>
  <si>
    <t xml:space="preserve"> 2.00 ? 1.78/gal </t>
  </si>
  <si>
    <t xml:space="preserve"> Customer stayed with Glider after they "came down on their price" — current supplier's reduction defeated switch; deal died.</t>
  </si>
  <si>
    <t xml:space="preserve"> Customer asked about prebuy ("used to is a pre-buy, you don't have that"); rep confirmed no prebuy; customer absorbed and moved on to fixed discussion.</t>
  </si>
  <si>
    <t xml:space="preserve">006Rg00000aXaxeIAC </t>
  </si>
  <si>
    <t xml:space="preserve"> 1.92/gal </t>
  </si>
  <si>
    <t xml:space="preserve">006Rg00000axfGxIAI </t>
  </si>
  <si>
    <t xml:space="preserve"> 2.18 ? 2.13/gal </t>
  </si>
  <si>
    <t xml:space="preserve">006Rg00000aXlbMIAS </t>
  </si>
  <si>
    <t xml:space="preserve">006Rg00000axq7VIAQ </t>
  </si>
  <si>
    <t xml:space="preserve"> 1.65V/1.79F/gal </t>
  </si>
  <si>
    <t xml:space="preserve">006Rg00000axr0OIAQ </t>
  </si>
  <si>
    <t xml:space="preserve"> 2.56/gal </t>
  </si>
  <si>
    <t xml:space="preserve">006Rg00000aXUXHIA4 </t>
  </si>
  <si>
    <t xml:space="preserve"> 1.62/gal </t>
  </si>
  <si>
    <t xml:space="preserve">006Rg00000axW7CIAU </t>
  </si>
  <si>
    <t xml:space="preserve">006Rg00000axWVPIA2 </t>
  </si>
  <si>
    <t xml:space="preserve"> Required re-signing 3-yr agreement to update address for existing customer; customer voiced "not gonna be here for three years" and "Time whatever this is ridiculous"; unsigned at followup voicemail 3 days later.</t>
  </si>
  <si>
    <t xml:space="preserve">006Rg00000ay1HRIAY </t>
  </si>
  <si>
    <t xml:space="preserve"> 2.799/gal </t>
  </si>
  <si>
    <t xml:space="preserve">006Rg00000ay9GbIAI </t>
  </si>
  <si>
    <t xml:space="preserve"> 2.64/gal </t>
  </si>
  <si>
    <t xml:space="preserve"> Customer said she has no propane and it will "take me more than four days"; rep quoted 1-2 week install with urgency note; customer proceeded to credit check and agreement.</t>
  </si>
  <si>
    <t xml:space="preserve">006Rg00000ay926IAA </t>
  </si>
  <si>
    <t xml:space="preserve">006Rg00000aYALBIA4 </t>
  </si>
  <si>
    <t xml:space="preserve">006Rg00000ayLrFIAU </t>
  </si>
  <si>
    <t xml:space="preserve"> 1.56/gal </t>
  </si>
  <si>
    <t xml:space="preserve">006Rg00000ayrRJIAY </t>
  </si>
  <si>
    <t xml:space="preserve"> 1.81/gal </t>
  </si>
  <si>
    <t xml:space="preserve"> Customer pushed back citing neighbor allegedly paid $1/gal or $60/fill; agent verified neighbor has 60-gal tank not lower rate; customer proceeded at standard rate, no concession.</t>
  </si>
  <si>
    <t xml:space="preserve">006Rg00000aYUAEIA4 </t>
  </si>
  <si>
    <t xml:space="preserve"> 2.56 ? 2.51/gal </t>
  </si>
  <si>
    <t xml:space="preserve">006Rg00000ayuH7IAI </t>
  </si>
  <si>
    <t xml:space="preserve"> 1.90/gal </t>
  </si>
  <si>
    <t xml:space="preserve">006Rg00000aYUJtIAO </t>
  </si>
  <si>
    <t xml:space="preserve"> 3.34/gal </t>
  </si>
  <si>
    <t xml:space="preserve">006Rg00000aYVr4IAG </t>
  </si>
  <si>
    <t xml:space="preserve">006Rg00000ayxbaIAA </t>
  </si>
  <si>
    <t xml:space="preserve"> 1.94/gal </t>
  </si>
  <si>
    <t xml:space="preserve">006Rg00000ayysbIAA </t>
  </si>
  <si>
    <t xml:space="preserve">006Rg00000azC2kIAE </t>
  </si>
  <si>
    <t xml:space="preserve">006Rg00000azIhdIAE </t>
  </si>
  <si>
    <t xml:space="preserve"> 2.54/gal </t>
  </si>
  <si>
    <t xml:space="preserve"> Customer needed install by weekend arrival; agent quoted two-week lead time; customer said "that's not gonna work" and declined.</t>
  </si>
  <si>
    <t xml:space="preserve"> Customer asked for 50-lb tank; agent said 120-gal minimum offered; customer accepted and continued discussion without demanding the smaller size.</t>
  </si>
  <si>
    <t xml:space="preserve">006Rg00000b0pjaIAA </t>
  </si>
  <si>
    <t xml:space="preserve"> 2.347/gal </t>
  </si>
  <si>
    <t xml:space="preserve">006Rg00000b0xPPIAY </t>
  </si>
  <si>
    <t xml:space="preserve"> 2.33/gal </t>
  </si>
  <si>
    <t xml:space="preserve"> Customer stated Superior's $2.33 rate exceeds current supplier's; said "not sure if we will make the switch" and ended call without commitment.</t>
  </si>
  <si>
    <t xml:space="preserve">006Rg00000b0yQJIAY </t>
  </si>
  <si>
    <t xml:space="preserve"> 1.97/gal </t>
  </si>
  <si>
    <t xml:space="preserve"> stack/economics </t>
  </si>
  <si>
    <t xml:space="preserve"> Customer projected ~75 gal/year usage triggering ~$190 year-2 MUC + rental, computed effective rate near $3.92/gal; deal stalled pending spouse review, not signed.</t>
  </si>
  <si>
    <t xml:space="preserve">006Rg00000b1D2mIAE </t>
  </si>
  <si>
    <t xml:space="preserve">006Rg00000b1EtFIAU </t>
  </si>
  <si>
    <t xml:space="preserve"> 1.83/gal </t>
  </si>
  <si>
    <t xml:space="preserve">006Rg00000b1KYsIAM </t>
  </si>
  <si>
    <t xml:space="preserve">006Rg00000b1lcIIAQ </t>
  </si>
  <si>
    <t xml:space="preserve">006Rg00000b1VcMIAU </t>
  </si>
  <si>
    <t xml:space="preserve"> 3.92/gal </t>
  </si>
  <si>
    <t xml:space="preserve">006Rg00000b3loJIAQ </t>
  </si>
  <si>
    <t xml:space="preserve"> 2.25/gal </t>
  </si>
  <si>
    <t xml:space="preserve">006Rg00000b3oRCIAY </t>
  </si>
  <si>
    <t xml:space="preserve">006Rg00000b3qWGIAY </t>
  </si>
  <si>
    <t xml:space="preserve">006Rg00000b3RmMIAU </t>
  </si>
  <si>
    <t xml:space="preserve"> 2.42V/2.57F/gal </t>
  </si>
  <si>
    <t xml:space="preserve">006Rg00000b3VgJIAU </t>
  </si>
  <si>
    <t xml:space="preserve">006Rg00000b3w8bIAA </t>
  </si>
  <si>
    <t xml:space="preserve">006Rg00000b3XIJIA2 </t>
  </si>
  <si>
    <t xml:space="preserve"> 1.89/gal </t>
  </si>
  <si>
    <t xml:space="preserve">006Rg00000b4kerIAA </t>
  </si>
  <si>
    <t xml:space="preserve">006Rg00000b4TsXIAU </t>
  </si>
  <si>
    <t xml:space="preserve">006Rg00000b4u37IAA </t>
  </si>
  <si>
    <t xml:space="preserve">006Rg00000b6BLUIA2 </t>
  </si>
  <si>
    <t xml:space="preserve"> 3.[MASKED]/gal </t>
  </si>
  <si>
    <t xml:space="preserve"> Existing customer adding generator tank; signed agreement same call; no offer-attribute pushback across all three segments.</t>
  </si>
  <si>
    <t xml:space="preserve">006Rg00000b6HorIAE </t>
  </si>
  <si>
    <t xml:space="preserve"> Duplicate of the Derek generator add-on conversation; agreement signed same call; no offer-attribute pushback.</t>
  </si>
  <si>
    <t xml:space="preserve">006Rg00000b6k4VIAQ </t>
  </si>
  <si>
    <t xml:space="preserve"> 1.90F/1.75V </t>
  </si>
  <si>
    <t xml:space="preserve"> Vincent asked rate, heard $1.90 fixed / $1.75 variable + $500 credit promo; said "I will get back to you"; no specific attribute objection.</t>
  </si>
  <si>
    <t xml:space="preserve">006Rg00000b6L4TIAU </t>
  </si>
  <si>
    <t xml:space="preserve"> 2.80/gal </t>
  </si>
  <si>
    <t xml:space="preserve"> Scott shopping generator setup; wants to digest numbers and discuss with wife; no attribute rejected, deal open pending callback.</t>
  </si>
  <si>
    <t xml:space="preserve">006Rg00000b6o3FIAQ </t>
  </si>
  <si>
    <t xml:space="preserve"> Outbound voicemail only (53s, valid no-content); no customer engagement to evaluate.</t>
  </si>
  <si>
    <t xml:space="preserve">006Rg00000b6QdgIAE </t>
  </si>
  <si>
    <t xml:space="preserve"> Customer explicitly refused to sign citing "not a fan of the three year thing"; confirmed will not proceed.</t>
  </si>
  <si>
    <t xml:space="preserve">006Rg00000b7BB7IAM </t>
  </si>
  <si>
    <t xml:space="preserve"> Inbound billing complaint about setup fee charge ("was not supposed to be charged a setup fee"); documentation/billing issue, out of scope for offer module.</t>
  </si>
  <si>
    <t xml:space="preserve">006Rg00000b7h4XIAQ </t>
  </si>
  <si>
    <t xml:space="preserve"> John shopping to replace leaking owned 100lb; asked about termination fee (~$500), accepted answer, signed 3-yr agreement same call; no attribute pushback.</t>
  </si>
  <si>
    <t xml:space="preserve">006Rg00000b7REHIA2 </t>
  </si>
  <si>
    <t xml:space="preserve"> 2.12V/2.27F </t>
  </si>
  <si>
    <t xml:space="preserve"> Nicole comparison-shopping for mother's account; heard pricing and promo, said pricing sounds better and will discuss with mother; no specific objection.</t>
  </si>
  <si>
    <t xml:space="preserve">006Rg00000b7snyIAA </t>
  </si>
  <si>
    <t xml:space="preserve"> Sandra (customer-owned tank moving RV) objected "I'm not gonna be here for three years"; rep said term unenforceable for customer-owned; she signed but expressed frustration.</t>
  </si>
  <si>
    <t xml:space="preserve">006Rg00000b12AXIAY </t>
  </si>
  <si>
    <t xml:space="preserve"> Kathy adding tank at second location; call terminated over phone-audio/language barrier before any offer attributes were discussed; rep-handling/system issue, out of scope.</t>
  </si>
  <si>
    <t xml:space="preserve">006Rg00000b42AoIAI </t>
  </si>
  <si>
    <t xml:space="preserve"> Outbound voicemail only (56s, valid no-content); no customer engagement to evaluate.</t>
  </si>
  <si>
    <t xml:space="preserve">006Rg00000b46pWIAQ </t>
  </si>
  <si>
    <t xml:space="preserve"> Nicole called back to lock in switching to Superior; conversation was solely a transfer to prior rep Katia; no offer attributes evaluated in these segments.</t>
  </si>
  <si>
    <t xml:space="preserve">006Rg00000b47QbIAI </t>
  </si>
  <si>
    <t xml:space="preserve"> 1.85V/1.99F </t>
  </si>
  <si>
    <t xml:space="preserve"> Craig comparison-shopping (current provider Chrismans); asked about variable rate risk, rep offered fixed alternative; customer said "let me think about it"—no specific attribute objection.</t>
  </si>
  <si>
    <t xml:space="preserve">006Rg00000b75s5IAA </t>
  </si>
  <si>
    <t xml:space="preserve"> 2.00V/2.15F </t>
  </si>
  <si>
    <t xml:space="preserve"> Andy new home, prior supplier removed tank; asked about fixed vs variable, military discount, monitoring, timeline; accepted all answers and signed 3-yr agreement same call.</t>
  </si>
  <si>
    <t xml:space="preserve">006Rg00000b111dIAA </t>
  </si>
  <si>
    <t xml:space="preserve"> Segment 1s duration, blank/no-content (valid per blank-segment rule); nothing to evaluate.</t>
  </si>
  <si>
    <t xml:space="preserve">006Rg00000b738lIAA </t>
  </si>
  <si>
    <t xml:space="preserve"> Customer (Sam/Clayton) explicitly refused to sign contract citing "not a fan of the three year thing"; confirmed will not proceed. Duplicate transcript of b6QdgIAE opportunity but coded independently per Opp ID.</t>
  </si>
  <si>
    <t xml:space="preserve">006Rg00000ba5FCIAY </t>
  </si>
  <si>
    <t xml:space="preserve"> 2.42V/2.57F </t>
  </si>
  <si>
    <t xml:space="preserve"> Matthew building new home, first call comparison-shopping; heard pricing, promo, 3-yr agreement, install/line limits; agreed to set up account on follow-up call, no attribute rejected.</t>
  </si>
  <si>
    <t xml:space="preserve">006Rg00000bac6LIAQ </t>
  </si>
  <si>
    <t xml:space="preserve"> Joseph new tenant, 60-gal for stove/dryer; asked install/rental/delivery costs and MUC, accepted answers; said "I'm going to call you back" — no attribute rejected, deal open.</t>
  </si>
  <si>
    <t xml:space="preserve">006Rg00000baVuPIAU </t>
  </si>
  <si>
    <t xml:space="preserve"> Employee-customer seasonal camper: new-install policy forces 120-gal min with $70 rental + $120 MUC = ~$190/yr fixed; customer said "probably beneficial just to keep the thirty pounders" and diverted to manager for exception rather than proceeding.</t>
  </si>
  <si>
    <t>Count Open</t>
  </si>
  <si>
    <t>Count Won</t>
  </si>
  <si>
    <t>Version</t>
  </si>
  <si>
    <t xml:space="preserve">006Rg00000bbIFCIA2 </t>
  </si>
  <si>
    <t xml:space="preserve"> 2.10/gal </t>
  </si>
  <si>
    <t xml:space="preserve"> Rep stated email is required to receive service; customer has no email and no smartphone ("flip phone"), cannot sign DocuSign; disengaged saying he would call back.</t>
  </si>
  <si>
    <t xml:space="preserve">006Rg00000bbiROIAY </t>
  </si>
  <si>
    <t xml:space="preserve"> 2.55/gal </t>
  </si>
  <si>
    <t xml:space="preserve">006Rg00000bbjwvIAA </t>
  </si>
  <si>
    <t xml:space="preserve"> 2.89F/2.74V/gal </t>
  </si>
  <si>
    <t xml:space="preserve">006Rg00000bBl1WIAS </t>
  </si>
  <si>
    <t xml:space="preserve"> 4.69/gal </t>
  </si>
  <si>
    <t xml:space="preserve">006Rg00000bBnPuIAK </t>
  </si>
  <si>
    <t xml:space="preserve"> 1.59/1.73/gal </t>
  </si>
  <si>
    <t xml:space="preserve">006Rg00000bBnuYIAS </t>
  </si>
  <si>
    <t xml:space="preserve"> 2.27/gal </t>
  </si>
  <si>
    <t xml:space="preserve">006Rg00000bC1kdIAC </t>
  </si>
  <si>
    <t xml:space="preserve">006Rg00000bC3b8IAC </t>
  </si>
  <si>
    <t xml:space="preserve">006Rg00000bC5oGIAS </t>
  </si>
  <si>
    <t xml:space="preserve"> 2.02/gal </t>
  </si>
  <si>
    <t xml:space="preserve">006Rg00000bCTH3IAO </t>
  </si>
  <si>
    <t xml:space="preserve"> 1.43V/1.58F/gal </t>
  </si>
  <si>
    <t xml:space="preserve">006Rg00000bD9hhIAC </t>
  </si>
  <si>
    <t xml:space="preserve"> 2.24 ? 2.27/gal </t>
  </si>
  <si>
    <t xml:space="preserve">006Rg00000bde0HIAQ </t>
  </si>
  <si>
    <t xml:space="preserve">006Rg00000bDPuXIAW </t>
  </si>
  <si>
    <t xml:space="preserve"> 2.17 ? 2.12/gal </t>
  </si>
  <si>
    <t xml:space="preserve">006Rg00000bdV9uIAE </t>
  </si>
  <si>
    <t xml:space="preserve"> Customer conditioned deal on install speed vs. Suburban's ~10-day window ("stick with them" if they're faster); rep quoted ~7 days and escalated to service for cancellations to preserve the opportunity.</t>
  </si>
  <si>
    <t xml:space="preserve">006Rg00000be9SIIAY </t>
  </si>
  <si>
    <t xml:space="preserve"> 2.09V/2.24F/gal </t>
  </si>
  <si>
    <t xml:space="preserve">006Rg00000bEbqXIAS </t>
  </si>
  <si>
    <t xml:space="preserve"> Customer pushed back on $299 install and $69.99/yr rental combined: "I might have to put it on hold I didn't know it's gonna be that much money"; opted to move existing tanks instead</t>
  </si>
  <si>
    <t xml:space="preserve">006Rg00000bebwYIAQ </t>
  </si>
  <si>
    <t xml:space="preserve"> supply-terms </t>
  </si>
  <si>
    <t xml:space="preserve"> Customer wants 100-gal partial fills vs. standard half-tank minimum per delivery; rep to verify with branch, deal pending</t>
  </si>
  <si>
    <t xml:space="preserve">006Rg00000beCUzIAM </t>
  </si>
  <si>
    <t xml:space="preserve"> Customer objected to $99 safety check ("not too interested in a $100 check"); rep escalated and waived fee to preserve opportunity</t>
  </si>
  <si>
    <t xml:space="preserve">006Rg00000beD1HIAU </t>
  </si>
  <si>
    <t xml:space="preserve"> 2.61/gal </t>
  </si>
  <si>
    <t xml:space="preserve"> Customer paused decision explicitly citing install cost: "given the cost of the installation... let me run it by her"</t>
  </si>
  <si>
    <t xml:space="preserve">006Rg00000beHfxIAE </t>
  </si>
  <si>
    <t xml:space="preserve">006Rg00000beos3IAA </t>
  </si>
  <si>
    <t xml:space="preserve"> 2.79 ? 2.74/gal </t>
  </si>
  <si>
    <t xml:space="preserve"> MUC/economics </t>
  </si>
  <si>
    <t xml:space="preserve"> 25 gal/yr stove usage vs. 125-gal MUC threshold triggers $190 MUC + $70 rental; customer signed 3-yr agreement, plans to source own tank later to avoid</t>
  </si>
  <si>
    <t xml:space="preserve">006Rg00000beQbBIAU </t>
  </si>
  <si>
    <t xml:space="preserve">006Rg00000bEs1eIAC </t>
  </si>
  <si>
    <t xml:space="preserve">006Rg00000beUlFIAU </t>
  </si>
  <si>
    <t xml:space="preserve"> 1.58V/1.73F/gal </t>
  </si>
  <si>
    <t xml:space="preserve">006Rg00000bF0NOIA0 </t>
  </si>
  <si>
    <t xml:space="preserve">006Rg00000bf1FlIAI </t>
  </si>
  <si>
    <t xml:space="preserve"> 2.50 ? 1.64/gal </t>
  </si>
  <si>
    <t xml:space="preserve"> Customer reacted to initial $2.50 quote ("I thought it sounded a little high"); rep proactively honored existing $1.64 rate; customer accepted and proceeded</t>
  </si>
  <si>
    <t xml:space="preserve">006Rg00000bf1viIAA </t>
  </si>
  <si>
    <t xml:space="preserve">006Rg00000bF2CLIA0 </t>
  </si>
  <si>
    <t xml:space="preserve"> 4.74/gal </t>
  </si>
  <si>
    <t xml:space="preserve">006Rg00000bF2KQIA0 </t>
  </si>
  <si>
    <t xml:space="preserve">006Rg00000bF3hpIAC </t>
  </si>
  <si>
    <t xml:space="preserve">006Rg00000bF3ptIAC </t>
  </si>
  <si>
    <t xml:space="preserve">006Rg00000bF5zmIAC </t>
  </si>
  <si>
    <t xml:space="preserve"> 2.02V/2.16F </t>
  </si>
  <si>
    <t xml:space="preserve">006Rg00000bf8qnIAA </t>
  </si>
  <si>
    <t xml:space="preserve"> 3.65/gal </t>
  </si>
  <si>
    <t xml:space="preserve">006Rg00000bFoNOIA0 </t>
  </si>
  <si>
    <t xml:space="preserve">006Rg00000bFsahIAC </t>
  </si>
  <si>
    <t xml:space="preserve"> 2.21/gal </t>
  </si>
  <si>
    <t xml:space="preserve">006Rg00000bfTvBIAU </t>
  </si>
  <si>
    <t xml:space="preserve">006Rg00000bFU0TIAW </t>
  </si>
  <si>
    <t xml:space="preserve"> 2.16/gal </t>
  </si>
  <si>
    <t xml:space="preserve"> Customer called 120-gal MUC "insane" and probed for smaller-tank workaround, but self-reassured on usage and signed with no concession.</t>
  </si>
  <si>
    <t xml:space="preserve">006Rg00000bFxKDIA0 </t>
  </si>
  <si>
    <t xml:space="preserve"> Customer wants 100 lb cook-stove tank; rep says "we no longer carry those…might still have something in inventory," pending service confirmation.</t>
  </si>
  <si>
    <t xml:space="preserve"> Customer states he was "told there would not be any tank rental"; rep replies "typically there is a tank rental for the cook stove tanks," left pending confirmation.</t>
  </si>
  <si>
    <t xml:space="preserve">006Rg00000bfXynIAE </t>
  </si>
  <si>
    <t xml:space="preserve"> 2.46/gal </t>
  </si>
  <si>
    <t xml:space="preserve">006Rg00000bFy6cIAC </t>
  </si>
  <si>
    <t xml:space="preserve"> 3.33/gal </t>
  </si>
  <si>
    <t xml:space="preserve"> Customer pushed back on $300 install ("no equipment needed…isn't that just a flat rate") and disengaged with "I'll call around, price soon."</t>
  </si>
  <si>
    <t xml:space="preserve">006Rg00000bG5BKIA0 </t>
  </si>
  <si>
    <t xml:space="preserve"> 2.04/2.06/gal </t>
  </si>
  <si>
    <t xml:space="preserve"> Underground-tank access controlled by prior supplier (third-party); non-offer, not coded in this module.</t>
  </si>
  <si>
    <t xml:space="preserve">006Rg00000bGLCrIAO </t>
  </si>
  <si>
    <t xml:space="preserve"> Follow-up on prior quote; customer tied up, no candidate issue surfaced this segment.</t>
  </si>
  <si>
    <t xml:space="preserve">006Rg00000bGMaLIAW </t>
  </si>
  <si>
    <t xml:space="preserve"> 1.73/gal </t>
  </si>
  <si>
    <t xml:space="preserve"> Customer asked for waiver of $99 safety-check fee; rep escalated and confirmed "we can waive the safety check fee," account then finalized.</t>
  </si>
  <si>
    <t xml:space="preserve">006Rg00000bGMgnIAG </t>
  </si>
  <si>
    <t xml:space="preserve">006Rg00000bGOFZIA4 </t>
  </si>
  <si>
    <t xml:space="preserve"> 1.79/2.50/gal </t>
  </si>
  <si>
    <t xml:space="preserve">006Rg00000bgr93IAA </t>
  </si>
  <si>
    <t xml:space="preserve"> 2.25V/2.39F </t>
  </si>
  <si>
    <t xml:space="preserve"> Customer read $250 termination + $250 tank-removal fees, exclaimed "What the hell is this? No wonder!" and halted signing to review contract in detail.</t>
  </si>
  <si>
    <t xml:space="preserve">006Rg00000bh3F3IAI </t>
  </si>
  <si>
    <t xml:space="preserve"> Pre-quote inquiry; existing on-site tank belongs to prior owner/other supplier (third-party control) — non-offer, not coded in this module.</t>
  </si>
  <si>
    <t xml:space="preserve">006Rg00000bh4vvIAA </t>
  </si>
  <si>
    <t xml:space="preserve"> Rep-proactive waivers ($49 fixed-rate fee, $300 install, tank rental, monitor fee) absorbed without customer pushback; customer signed.</t>
  </si>
  <si>
    <t xml:space="preserve">006Rg00000bh18QIAQ </t>
  </si>
  <si>
    <t xml:space="preserve"> Segments are transfer/callback traffic only; substantive offer discussion occurred outside these segments.</t>
  </si>
  <si>
    <t xml:space="preserve">006Rg00000bhHExIAM </t>
  </si>
  <si>
    <t xml:space="preserve"> 2.20/gal </t>
  </si>
  <si>
    <t xml:space="preserve"> Customer stated 25–50 gal/yr usage vs. $70 rental applying under 200 gal; asked but did not object, deferred citing existing full tank/lease (competing external cause blocks latent).</t>
  </si>
  <si>
    <t xml:space="preserve">006Rg00000bhYh8IAE </t>
  </si>
  <si>
    <t xml:space="preserve"> 1.75V/1.89F </t>
  </si>
  <si>
    <t xml:space="preserve"> Customer asked "do you guys sell tanks?" — rep said "we do not sell tanks" and steered to lease; customer accepted, took docs, agreed to Tuesday follow-up.</t>
  </si>
  <si>
    <t xml:space="preserve"> Customer registered mild surprise ("36 months?") when term disclosed but did not object; proceeded to review docs. Confidence Low ? recorded as mention_only, not assigned.</t>
  </si>
  <si>
    <t xml:space="preserve">006Rg00000bIE8tIAG </t>
  </si>
  <si>
    <t xml:space="preserve">006Rg00000bIJLSIA4 </t>
  </si>
  <si>
    <t xml:space="preserve">006Rg00000bIN47IAG </t>
  </si>
  <si>
    <t xml:space="preserve">006Rg00000bIoqfIAC </t>
  </si>
  <si>
    <t xml:space="preserve">006Rg00000bIvYoIAK </t>
  </si>
  <si>
    <t xml:space="preserve">006Rg00000bIYdqIAG </t>
  </si>
  <si>
    <t xml:space="preserve">006Rg00000bJ2QcIAK </t>
  </si>
  <si>
    <t xml:space="preserve"> 2.74/gal </t>
  </si>
  <si>
    <t xml:space="preserve"> install </t>
  </si>
  <si>
    <t xml:space="preserve"> Customer reacted to $1500 install ("$1500 dollars to bring in a tank...plus $70 plus $2.74") but did not tie it to non-progression; call ended as info-gathering.</t>
  </si>
  <si>
    <t xml:space="preserve">006Rg00000bJB8yIAG </t>
  </si>
  <si>
    <t xml:space="preserve"> 2.09 ? 2.04/gal </t>
  </si>
  <si>
    <t xml:space="preserve"> Customer refused credit check ("no reason to do a credit check") and pushed back on account-creation prerequisite for site visit; deal reduced to inspection-only via supply-agreement workaround.</t>
  </si>
  <si>
    <t xml:space="preserve">006Rg00000bJBaMIAW </t>
  </si>
  <si>
    <t xml:space="preserve"> 1.65V/1.79F </t>
  </si>
  <si>
    <t xml:space="preserve"> Customer objected to $250 termination fee combined with 1-yr-only fixed-price lock on 3-yr lease; ended undetermined and went shopping.</t>
  </si>
  <si>
    <t xml:space="preserve">006Rg00000bJO1JIAW </t>
  </si>
  <si>
    <t xml:space="preserve"> 2.83/gal </t>
  </si>
  <si>
    <t xml:space="preserve">006Rg00000bJo8gIAC </t>
  </si>
  <si>
    <t xml:space="preserve"> Customer required 100-lb tank; rep confirmed minimum is 120-gal; customer declined and stated intent to buy a 100-lb tank instead.</t>
  </si>
  <si>
    <t xml:space="preserve"> Rental $69.99/yr + $120 MUC vs customer's stated emergency-only usage made 120-gal option uneconomical; reinforced decline.</t>
  </si>
  <si>
    <t xml:space="preserve">006Rg00000bJWIDIA4 </t>
  </si>
  <si>
    <t xml:space="preserve"> Brief transfer call; customer redirected to another rep; no offer content discussed in these segments.</t>
  </si>
  <si>
    <t xml:space="preserve">006Rg00000bKpM5IAK </t>
  </si>
  <si>
    <t xml:space="preserve"> 1.849/gal </t>
  </si>
  <si>
    <t xml:space="preserve">006Rg00000bL6GSIA0 </t>
  </si>
  <si>
    <t xml:space="preserve"> 4.50/gal </t>
  </si>
  <si>
    <t xml:space="preserve"> Customer heard $4.50/gal, said would "get back to you" while seeking bundled package; no explicit rate objection tied to non-progression.</t>
  </si>
  <si>
    <t xml:space="preserve"> Customer wanted propane + oil combo; rep confirmed oil department sold off in that area; customer exited to find combined supplier.</t>
  </si>
  <si>
    <t xml:space="preserve">006Rg00000bL9UQIA0 </t>
  </si>
  <si>
    <t xml:space="preserve"> 1.93F/gal </t>
  </si>
  <si>
    <t xml:space="preserve">006Rg00000bLGcNIAW </t>
  </si>
  <si>
    <t xml:space="preserve"> 2.32/gal </t>
  </si>
  <si>
    <t xml:space="preserve">006Rg00000bLTg2IAG </t>
  </si>
  <si>
    <t xml:space="preserve"> 1.95/gal </t>
  </si>
  <si>
    <t xml:space="preserve"> Customer voiced concern about 3-yr contract locking him in if competitor drops rate below Superior; rep replied "everything is negotiable"; customer proceeded to signup.</t>
  </si>
  <si>
    <t xml:space="preserve">006Rg00000bLORqIAO </t>
  </si>
  <si>
    <t xml:space="preserve"> 2.26/gal </t>
  </si>
  <si>
    <t xml:space="preserve">006Rg00000bLOurIAG </t>
  </si>
  <si>
    <t xml:space="preserve"> 2.07/gal </t>
  </si>
  <si>
    <t xml:space="preserve">006Rg00000bLRWAIA4 </t>
  </si>
  <si>
    <t xml:space="preserve"> 1.98/gal </t>
  </si>
  <si>
    <t xml:space="preserve"> Customer asked if Superior does natural-gas-to-propane appliance conversion; rep said "we don't do that either"; provided contractor names; customer accepted and said "I'm gonna do it, I'm just trying to coordinate."</t>
  </si>
  <si>
    <t xml:space="preserve">006Rg00000bM1RaIAK </t>
  </si>
  <si>
    <t xml:space="preserve"> Customer asked about filling motor home at cedar creek; rep said "we wouldn't fill a motorhome... have to have a set tank beside it"; customer said "oh really oh my gosh" and proceeded with house and camp tanks.</t>
  </si>
  <si>
    <t xml:space="preserve">006Rg00000bM7IUIA0 </t>
  </si>
  <si>
    <t xml:space="preserve">006Rg00000bM8b7IAC </t>
  </si>
  <si>
    <t xml:space="preserve"> Customer questioned the 3-yr agreement ("it's a three year agreement"); rep explained rationale (competitive pricing commitment); customer accepted and signed.</t>
  </si>
  <si>
    <t xml:space="preserve"> Customer feared "$500 fee because you gotta pick up the tank" if she sells; rep read clause showing $250 termination fee falls on change-of-ownership buyer, not her; customer said "Okay" and proceeded.</t>
  </si>
  <si>
    <t xml:space="preserve"> Customer cited neighbor's "$2.15 locked in for three years"; rep confirmed neighbor's arrangement was via loyalty team for a long-standing account and not available today; customer accepted $2.33 and proceeded.</t>
  </si>
  <si>
    <t xml:space="preserve">006Rg00000bM84rIAC </t>
  </si>
  <si>
    <t xml:space="preserve">006Rg00000bNtmUIAS </t>
  </si>
  <si>
    <t xml:space="preserve"> 1.80/gal </t>
  </si>
  <si>
    <t xml:space="preserve">006Rg00000bO2ONIA0 </t>
  </si>
  <si>
    <t xml:space="preserve"> 2.264/gal </t>
  </si>
  <si>
    <t xml:space="preserve"> Customer questioned "that doesn't sound a lot cheaper than the first option"; rep explained winter volatility; customer chose fixed and proceeded with no concession.</t>
  </si>
  <si>
    <t xml:space="preserve">006Rg00000bO5CZIA0 </t>
  </si>
  <si>
    <t xml:space="preserve"> Rep stated Superior cannot fill built-in RV tanks due to truck pressure; follow-up VM confirmed branch not taking new built-in tank service; customer disengaged.</t>
  </si>
  <si>
    <t xml:space="preserve">006Rg00000bO7fmIAC </t>
  </si>
  <si>
    <t xml:space="preserve"> $250 credit gated behind auto-delivery + credit approval; customer said "that one won't, work for, me because... credit is not great," moved to call-in without concession or stall.</t>
  </si>
  <si>
    <t xml:space="preserve">006Rg00000bO9eLIAS </t>
  </si>
  <si>
    <t xml:space="preserve"> 2.229 ? 2.08/gal </t>
  </si>
  <si>
    <t xml:space="preserve"> Customer asked "why would it be more for the fixed rate"; rep explained winter pricing risk; customer said "that's what I would go over with"; rate revised down after tank-size correction, fixed chosen.</t>
  </si>
  <si>
    <t xml:space="preserve">006Rg00000bOBcwIAG </t>
  </si>
  <si>
    <t xml:space="preserve">006Rg00000bObM8IAK </t>
  </si>
  <si>
    <t xml:space="preserve"> 2.01/gal </t>
  </si>
  <si>
    <t xml:space="preserve">006Rg00000bol6TIAQ </t>
  </si>
  <si>
    <t xml:space="preserve">006Rg00000bOQTuIAO </t>
  </si>
  <si>
    <t xml:space="preserve"> Customer reacted to $35.99/mo tank rental — "wow it's like four hundred bucks a year. No." — rep suggested loyalty team could waive when full-time; customer signed with no concession granted.</t>
  </si>
  <si>
    <t xml:space="preserve">006Rg00000boSiAIAU </t>
  </si>
  <si>
    <t xml:space="preserve"> 2.43/gal </t>
  </si>
  <si>
    <t xml:space="preserve">006Rg00000bOSlrIAG </t>
  </si>
  <si>
    <t xml:space="preserve">006Rg00000botNNIAY </t>
  </si>
  <si>
    <t xml:space="preserve">006Rg00000bOtZ7IAK </t>
  </si>
  <si>
    <t xml:space="preserve"> 1.79 ? 1.64/gal </t>
  </si>
  <si>
    <t xml:space="preserve"> Customer cited MX Fuels at 2.39/gal last year; rep quoted 1.79 then improved to 1.64 in later call; customer signed without demanding concession.</t>
  </si>
  <si>
    <t xml:space="preserve">006Rg00000bOv9VIAS </t>
  </si>
  <si>
    <t xml:space="preserve">006Rg00000bowTJIAY </t>
  </si>
  <si>
    <t xml:space="preserve"> 2.05V/2.20F/gal </t>
  </si>
  <si>
    <t xml:space="preserve"> Customer said "so you're pretty much a COD"; rep corrected that approved credit gives net-30 billing; customer accepted and moved past it.</t>
  </si>
  <si>
    <t xml:space="preserve">006Rg00000boZjdIAE </t>
  </si>
  <si>
    <t xml:space="preserve"> 2.08/gal </t>
  </si>
  <si>
    <t xml:space="preserve"> Customer wanted to own a 120-gal tank; rep confirmed Superior does not sell 120-gal tanks; customer proceeded to explore lease terms and check permit.</t>
  </si>
  <si>
    <t xml:space="preserve">006Rg00000bp2iRIAQ </t>
  </si>
  <si>
    <t xml:space="preserve">006Rg00000bP6o8IAC </t>
  </si>
  <si>
    <t xml:space="preserve"> delivery-model </t>
  </si>
  <si>
    <t xml:space="preserve"> Customer feared auto-delivery meant frequent visits; rep clarified auto-fill is once/year check; customer accepted call-in with 29.90 delivery fee.</t>
  </si>
  <si>
    <t xml:space="preserve">006Rg00000bpF7lIAE </t>
  </si>
  <si>
    <t xml:space="preserve"> 2.98/gal </t>
  </si>
  <si>
    <t xml:space="preserve"> Cook-only customer uses ~25 gal/yr; 120-gal tank MUC threshold 125 gal/yr plus 69.99 rental structurally uneconomical; rep suggested portable cylinder alternative.</t>
  </si>
  <si>
    <t xml:space="preserve">006Rg00000bpJMfIAM </t>
  </si>
  <si>
    <t xml:space="preserve"> 2.31F/2.44V/gal </t>
  </si>
  <si>
    <t xml:space="preserve"> Customer noted variable rate exceeded fixed ("I don't know why it is showing higher") — rep explained market; customer accepted and leaned toward fixed.</t>
  </si>
  <si>
    <t xml:space="preserve"> Rep disclosed three-year agreement; customer responded "yeah, right, for sure" with no pushback or effect on progression.</t>
  </si>
  <si>
    <t xml:space="preserve">006Rg00000bpLDBIA2 </t>
  </si>
  <si>
    <t xml:space="preserve"> 2.62V/2.766F/gal </t>
  </si>
  <si>
    <t xml:space="preserve"> Customer asked whether $299 install covered "the tank and the blocks and the line run"; rep confirmed; customer moved on to discuss lock-in duration.</t>
  </si>
  <si>
    <t xml:space="preserve">006Rg00000bpU5BIAU </t>
  </si>
  <si>
    <t xml:space="preserve"> Customer flagged $299 install as reason for stall: "let me run this by the wife…given the cost of the installation"; deal paused pending spousal review.</t>
  </si>
  <si>
    <t xml:space="preserve">006Rg00000bpY7CIAU </t>
  </si>
  <si>
    <t xml:space="preserve">006Rg00000bq1SYIAY </t>
  </si>
  <si>
    <t xml:space="preserve"> 1.73V/1.88F/gal </t>
  </si>
  <si>
    <t xml:space="preserve"> Rep disclosed three-year supply agreement to hold price; customer reacted "Oh, okay" and proceeded to spousal-review close without objection.</t>
  </si>
  <si>
    <t xml:space="preserve">006Rg00000bQcp9IAC </t>
  </si>
  <si>
    <t xml:space="preserve">006Rg00000bQcSYIA0 </t>
  </si>
  <si>
    <t xml:space="preserve">006Rg00000bruupIAA </t>
  </si>
  <si>
    <t xml:space="preserve"> Customer mentioned Peck Lake group-pricing arrangement expecting a better rate; rep found no special Peck Lake pricing; customer proceeded and signed at standard 2.08/gal.</t>
  </si>
  <si>
    <t xml:space="preserve">006Rg00000brvR4IAI </t>
  </si>
  <si>
    <t xml:space="preserve">006Rg00000brvVuIAI </t>
  </si>
  <si>
    <t xml:space="preserve">006Rg00000brxmFIAQ </t>
  </si>
  <si>
    <t xml:space="preserve"> 2.55 ? 1.699/gal </t>
  </si>
  <si>
    <t xml:space="preserve"> price-match </t>
  </si>
  <si>
    <t xml:space="preserve"> Customer rejected 2.55 as wrong for her Page Trucking linked account and cited her 1.68 recent fill; rep escalated and revised to 1.699 fixed</t>
  </si>
  <si>
    <t xml:space="preserve"> Customer voiced surprise at 69.99 annual rental and invoked her account leverage; district manager waived the rental</t>
  </si>
  <si>
    <t xml:space="preserve">006Rg00000bs0KJIAY </t>
  </si>
  <si>
    <t xml:space="preserve"> 2.055F/1.91V/gal </t>
  </si>
  <si>
    <t xml:space="preserve"> Customer voiced hesitancy about 3-year lock ("locks me into you guys") but accepted rep's ETF/credit-offset explanation without concession</t>
  </si>
  <si>
    <t xml:space="preserve">006Rg00000bsbIDIAY </t>
  </si>
  <si>
    <t xml:space="preserve">006Rg00000bsfqUIAQ </t>
  </si>
  <si>
    <t xml:space="preserve">006Rg00000bsjVtIAI </t>
  </si>
  <si>
    <t xml:space="preserve"> 2.12F/1.97V/gal </t>
  </si>
  <si>
    <t xml:space="preserve"> Customer cited friend Armand's alleged 1.19 locked rate via National Grid employee discount; rep could not locate account or match, call escalated to manager on hold</t>
  </si>
  <si>
    <t xml:space="preserve">006Rg00000bsP5mIAE </t>
  </si>
  <si>
    <t xml:space="preserve">006Rg00000bt4VeIAI </t>
  </si>
  <si>
    <t xml:space="preserve">006Rg00000bTK68IAG </t>
  </si>
  <si>
    <t xml:space="preserve"> 1.88/gal </t>
  </si>
  <si>
    <t xml:space="preserve"> Customer called prepay/credit-check gating on will-call "unheard of"; follow-up confirmed "I'm set up though already" with alternate provider</t>
  </si>
  <si>
    <t xml:space="preserve">006Rg00000bTLAEIA4 </t>
  </si>
  <si>
    <t xml:space="preserve"> 1.77V/1.92F/gal </t>
  </si>
  <si>
    <t xml:space="preserve">006Rg00000bTOXuIAO </t>
  </si>
  <si>
    <t xml:space="preserve">006Rg00000bTQZhIAO </t>
  </si>
  <si>
    <t xml:space="preserve"> 2.44V/2.58F/gal </t>
  </si>
  <si>
    <t xml:space="preserve">006Rg00000btTwvIAE </t>
  </si>
  <si>
    <t xml:space="preserve">006Rg00000bTUexIAG </t>
  </si>
  <si>
    <t xml:space="preserve"> 1.94V/2.08F/gal </t>
  </si>
  <si>
    <t xml:space="preserve">006Rg00000bTVUYIA4 </t>
  </si>
  <si>
    <t xml:space="preserve">006Rg00000bTyUwIAK </t>
  </si>
  <si>
    <t xml:space="preserve"> 1.72V/1.86F/gal </t>
  </si>
  <si>
    <t xml:space="preserve">006Rg00000btZvtIAE </t>
  </si>
  <si>
    <t xml:space="preserve"> Customer volunteered current supplier at $3/gal as reason for shopping; Superior's quote is lower, no barrier to progression.</t>
  </si>
  <si>
    <t xml:space="preserve"> Customer asked to at least halve the $99 safety inspection fee citing $3/gal current supplier pressure; rep escalated and waived it, deal proceeded.</t>
  </si>
  <si>
    <t xml:space="preserve">006Rg00000bU2FDIA0 </t>
  </si>
  <si>
    <t xml:space="preserve"> 1.96/gal </t>
  </si>
  <si>
    <t xml:space="preserve"> Customer voiced circumstance-based concern about ~$325.80 upfront fee stack tied to pay cycle; rep clarified no payment due at signup, customer signed without concession.</t>
  </si>
  <si>
    <t xml:space="preserve">006Rg00000bU7bSIAS </t>
  </si>
  <si>
    <t xml:space="preserve"> Customer stated they don't use email, blocking DocuSign; rep secured workaround by routing agreement to daughter's email, signup completed.</t>
  </si>
  <si>
    <t xml:space="preserve"> Customer preferred cash payment; rep explained drivers don't take cash and invoice would be mailed, customer accepted without concession.</t>
  </si>
  <si>
    <t xml:space="preserve">006Rg00000bUavCIAS </t>
  </si>
  <si>
    <t xml:space="preserve">006Rg00000bUDs9IAG </t>
  </si>
  <si>
    <t xml:space="preserve">006Rg00000bUh5RIAS </t>
  </si>
  <si>
    <t xml:space="preserve"> Customer volunteered Suburban rate at ~$4/gal noting Superior's price is "way better"; favorable comparison, no barrier.</t>
  </si>
  <si>
    <t xml:space="preserve">006Rg00000bUomtIAC </t>
  </si>
  <si>
    <t xml:space="preserve">006Rg00000bUrHjIAK </t>
  </si>
  <si>
    <t xml:space="preserve"> Customer withdrew citing rep Dean's contradictory/inaccurate statements about contract terms (incl. tank ownership); rep-handling matter, out of scope for this module.</t>
  </si>
  <si>
    <t xml:space="preserve">006Rg00000bUwyvIAC </t>
  </si>
  <si>
    <t xml:space="preserve"> 2.63/gal </t>
  </si>
  <si>
    <t xml:space="preserve"> Customer voiced nervousness disclosing SSN for credit check and hit an Experian freeze; rep offered partial-hit workaround, customer lifted freeze and proceeded.</t>
  </si>
  <si>
    <t xml:space="preserve"> Customer referenced prior competitor's "crazy" annual rental fee as reason for shopping; no pushback on Superior's $40/mo tank rental, signed agreement.</t>
  </si>
  <si>
    <t xml:space="preserve">006Rg00000bvmDuIAI </t>
  </si>
  <si>
    <t xml:space="preserve">006Rg00000bvMkzIAE </t>
  </si>
  <si>
    <t xml:space="preserve">006Rg00000bvQDgIAM </t>
  </si>
  <si>
    <t xml:space="preserve"> 1.87/2.02/gal </t>
  </si>
  <si>
    <t xml:space="preserve">006Rg00000bVxzPIAS </t>
  </si>
  <si>
    <t xml:space="preserve">006Rg00000bvZBqIAM </t>
  </si>
  <si>
    <t xml:space="preserve"> Customer questioned whether $99.99 rental would be waived with a delivery; rep applied $250 new-customer credit against first-year rental to move deal forward.</t>
  </si>
  <si>
    <t xml:space="preserve">006Rg00000bvzO1IAI </t>
  </si>
  <si>
    <t xml:space="preserve"> 1.69/gal </t>
  </si>
  <si>
    <t xml:space="preserve">006Rg00000bw3zWIAQ </t>
  </si>
  <si>
    <t xml:space="preserve">006Rg00000bw5hxIAA </t>
  </si>
  <si>
    <t xml:space="preserve">006Rg00000bWn6jIAC </t>
  </si>
  <si>
    <t xml:space="preserve"> 2.xx/gal (masked) </t>
  </si>
  <si>
    <t xml:space="preserve"> Rep quoted $1,000 install for two generator tanks; customer called it "ridiculous" and ended with "I'll let you know," no re-engagement in the single segment.</t>
  </si>
  <si>
    <t xml:space="preserve">006Rg00000bwUYIIA2 </t>
  </si>
  <si>
    <t xml:space="preserve"> 1.66/1.80/gal </t>
  </si>
  <si>
    <t xml:space="preserve">006Rg00000bwXERIA2 </t>
  </si>
  <si>
    <t xml:space="preserve">006Rg00000bWZOlIAO </t>
  </si>
  <si>
    <t xml:space="preserve">006Rg00000bX6XZIA0 </t>
  </si>
  <si>
    <t xml:space="preserve">006Rg00000bXBnNIAW </t>
  </si>
  <si>
    <t xml:space="preserve"> 2.44/gal </t>
  </si>
  <si>
    <t xml:space="preserve"> Customer asked whether signing bound him before install ("if the contractor comes... it doesn't go into effect until the tech is installed right"); rep confirmed fees apply only post-install and customer signed.</t>
  </si>
  <si>
    <t xml:space="preserve">006Rg00000bXgzGIAS </t>
  </si>
  <si>
    <t xml:space="preserve"> 3.495/gal </t>
  </si>
  <si>
    <t xml:space="preserve"> Customer asked cost to buy tank rather than rent ($39.99/mo); rep stated office no longer sells tanks; customer accepted rental and proceeded to sign.</t>
  </si>
  <si>
    <t xml:space="preserve">006Rg00000bXs19IAC </t>
  </si>
  <si>
    <t xml:space="preserve"> stacking </t>
  </si>
  <si>
    <t xml:space="preserve"> Customer asked to lock in rate; rep said fixed rate ineligible for $500 promo; customer chose floating to keep promo and proceeded.</t>
  </si>
  <si>
    <t xml:space="preserve">006Rg00000bXtjZIAS </t>
  </si>
  <si>
    <t xml:space="preserve"> 1.75/gal </t>
  </si>
  <si>
    <t xml:space="preserve"> Customer asked "the $500 credit is that only if you lease the tank"; rep confirmed leased-tank only; customer accepted and moved to consider.</t>
  </si>
  <si>
    <t xml:space="preserve">006Rg00000by7NwIAI </t>
  </si>
  <si>
    <t xml:space="preserve"> 2.49/gal </t>
  </si>
  <si>
    <t xml:space="preserve">006Rg00000byfFtIAI </t>
  </si>
  <si>
    <t xml:space="preserve"> 1.419/gal </t>
  </si>
  <si>
    <t xml:space="preserve">006Rg00000byjctIAA </t>
  </si>
  <si>
    <t xml:space="preserve"> 1.73V/1.88F // 1.97 // 1.79/gal </t>
  </si>
  <si>
    <t xml:space="preserve">006Rg00000byjGYIAY </t>
  </si>
  <si>
    <t xml:space="preserve"> Customer wants pre-buy structure ("I always pre-bought"); rep states residential does not offer pre-buy; referred to commercial rep, undetermined.</t>
  </si>
  <si>
    <t xml:space="preserve">006Rg00000byJs5IAE </t>
  </si>
  <si>
    <t xml:space="preserve"> Landlord pushed back on $299 install fee ("we never had to pay that... any propane carrier"); rep committed to attempt waiver to preserve setup.</t>
  </si>
  <si>
    <t xml:space="preserve">006Rg00000byrc1IAA </t>
  </si>
  <si>
    <t xml:space="preserve">006Rg00000byYr8IAE </t>
  </si>
  <si>
    <t xml:space="preserve"> 1.68V/1.83F/gal </t>
  </si>
  <si>
    <t xml:space="preserve"> Customer saw $500 credit online; rep confirmed leased-tank only; owner-tank customer acknowledged and continued.</t>
  </si>
  <si>
    <t xml:space="preserve"> inspection </t>
  </si>
  <si>
    <t xml:space="preserve"> Customer said "can you help with waiving that fee? Then we can just sign up today"; rep escalated and waived the $99 safety inspection.</t>
  </si>
  <si>
    <t xml:space="preserve">006Rg00000bzALKIA2 </t>
  </si>
  <si>
    <t xml:space="preserve"> 1.84/gal </t>
  </si>
  <si>
    <t xml:space="preserve"> Rep disclosed three-year agreement; customer said "Oh, okay" and continued questions; ended noncommittal without objecting to term length.</t>
  </si>
  <si>
    <t xml:space="preserve">006Rg00000bzpmfIAA </t>
  </si>
  <si>
    <t xml:space="preserve"> Customer locked with Heller at $1.69; declined Superior's $1.77 variable, choosing another shopping option over Superior.</t>
  </si>
  <si>
    <t xml:space="preserve">006Rg00000c4claIAA </t>
  </si>
  <si>
    <t xml:space="preserve"> 1.73V/1.87F/gal </t>
  </si>
  <si>
    <t xml:space="preserve">006Rg00000c4d4vIAA </t>
  </si>
  <si>
    <t xml:space="preserve"> Customer required install by Thursday closing for large family; capacity booked 1-2 weeks out; rep flagged urgency notes to preserve deal.</t>
  </si>
  <si>
    <t xml:space="preserve">006Rg00000c4gnZIAQ </t>
  </si>
  <si>
    <t xml:space="preserve"> 2.11V/gal </t>
  </si>
  <si>
    <t xml:space="preserve">006Rg00000c4MvKIAU </t>
  </si>
  <si>
    <t xml:space="preserve"> 1.68V/gal </t>
  </si>
  <si>
    <t xml:space="preserve"> Rep disclosed $99 safety inspection; customer said "of course I understand" and proceeded to setup with no pushback.</t>
  </si>
  <si>
    <t xml:space="preserve">006Rg00000c4sDeIAI </t>
  </si>
  <si>
    <t xml:space="preserve">006Rg00000c4wSYIAY </t>
  </si>
  <si>
    <t xml:space="preserve"> 2.70 ? 2.65/gal </t>
  </si>
  <si>
    <t xml:space="preserve"> Asked "is there an option where I can just buy the tank"; rep said "we don't sell the tanks, we are only renting"; customer replied "Okay. That's okay" and proceeded.</t>
  </si>
  <si>
    <t xml:space="preserve"> Asked for 40-gal tank; rep said smallest available is 120; customer replied "would probably be fine" and continued to setup.</t>
  </si>
  <si>
    <t xml:space="preserve">006Rg00000c5e5NIAQ </t>
  </si>
  <si>
    <t xml:space="preserve">006Rg00000c5ik5IAA </t>
  </si>
  <si>
    <t xml:space="preserve"> 2.17/gal </t>
  </si>
  <si>
    <t xml:space="preserve"> Reacted to $99 leak test: "Well, they should pay we $100 that's it because this is ridiculous"; rep held firm on safety requirement; customer proceeded and signed T&amp;Cs without concession.</t>
  </si>
  <si>
    <t xml:space="preserve"> Asked "I'm not going to have any contract or anything like that, right?"; rep explained 3-year agreement with cancellable deliveries; customer accepted "Okay" and signed.</t>
  </si>
  <si>
    <t xml:space="preserve">006Rg00000c6PSTIA2 </t>
  </si>
  <si>
    <t xml:space="preserve"> 2.79/gal </t>
  </si>
  <si>
    <t xml:space="preserve"> Stove-only usage; $100 rental + $90 MUC = $190/yr; customer says "that's crazy" and ends process to switch home to natural gas.</t>
  </si>
  <si>
    <t xml:space="preserve">006Rg00000c7b4zIAA </t>
  </si>
  <si>
    <t xml:space="preserve"> 2.88/gal </t>
  </si>
  <si>
    <t xml:space="preserve">006Rg00000c7nZDIAY </t>
  </si>
  <si>
    <t xml:space="preserve"> 2.03V / 2.18F/gal </t>
  </si>
  <si>
    <t xml:space="preserve">006Rg00000c7p9ZIAQ </t>
  </si>
  <si>
    <t xml:space="preserve"> 1.74V / 1.89F/gal </t>
  </si>
  <si>
    <t xml:space="preserve"> Opened call requesting pre-buy program; rep offered variable and fixed only; customer thanks rep and disengages ("save this for you") without commitment or scheduling.</t>
  </si>
  <si>
    <t xml:space="preserve">006Rg00000c7RDpIAM </t>
  </si>
  <si>
    <t xml:space="preserve"> 2.27F/2.12V/gal </t>
  </si>
  <si>
    <t xml:space="preserve">006Rg00000c7SYDIA2 </t>
  </si>
  <si>
    <t xml:space="preserve"> 1.66 ? 1.67/gal </t>
  </si>
  <si>
    <t xml:space="preserve">006Rg00000c7YS5IAM </t>
  </si>
  <si>
    <t xml:space="preserve"> 2.15F/2.00V/gal </t>
  </si>
  <si>
    <t xml:space="preserve">006Rg00000c8dw0IAA </t>
  </si>
  <si>
    <t xml:space="preserve">006Rg00000c8j5JIAQ </t>
  </si>
  <si>
    <t xml:space="preserve"> 2.02F/gal </t>
  </si>
  <si>
    <t xml:space="preserve">006Rg00000c8k9ZIAQ </t>
  </si>
  <si>
    <t xml:space="preserve">006Rg00000c8PjJIAU </t>
  </si>
  <si>
    <t xml:space="preserve"> Customer refuses 3-year agreement repeatedly ("I don't want to be on the contract"); second rep confirms signed paperwork mandatory to establish account; customer terminates.</t>
  </si>
  <si>
    <t xml:space="preserve"> Rejects $99 safety/leak test as "bullshit"; refuses to pay for required inspection; reinforces refusal to proceed.</t>
  </si>
  <si>
    <t xml:space="preserve">006Rg00000c8rpPIAQ </t>
  </si>
  <si>
    <t xml:space="preserve">006Rg00000c8x3SIAQ </t>
  </si>
  <si>
    <t xml:space="preserve"> 2.05V / 2.19F/gal </t>
  </si>
  <si>
    <t xml:space="preserve"> Customer stated "I typically do the pre-buy"; rep confirmed "we don't offer pre-buy"; customer said "let me think about this" and disengaged; two subsequent VMs unreturned as of June 15.</t>
  </si>
  <si>
    <t xml:space="preserve">006Rg00000c9Nh3IAE </t>
  </si>
  <si>
    <t xml:space="preserve"> 2.11/gal </t>
  </si>
  <si>
    <t xml:space="preserve">006Rg00000c92eMIAQ </t>
  </si>
  <si>
    <t xml:space="preserve">006Rg00000caha1IAA </t>
  </si>
  <si>
    <t xml:space="preserve">006Rg00000caiZKIAY </t>
  </si>
  <si>
    <t xml:space="preserve"> 2.05/gal </t>
  </si>
  <si>
    <t xml:space="preserve"> No </t>
  </si>
  <si>
    <t xml:space="preserve"> Customer resisted $30 delivery fee for seasonal low-use tanks; rep conceded 50% to $15 to preserve deal.</t>
  </si>
  <si>
    <t xml:space="preserve"> Customer pushed back on $100 safety check citing tank is only one year old; rep offered to try to waive it.</t>
  </si>
  <si>
    <t xml:space="preserve"> Customer chose local self-refill of 60-lb tanks at $25; full fee stack uneconomical for occasional seasonal RV use.</t>
  </si>
  <si>
    <t xml:space="preserve"> Customer asked about prepay; rep said "we don't do any prepays anymore"; customer absorbed and continued exploring.</t>
  </si>
  <si>
    <t xml:space="preserve">006Rg00000cAp1mIAC </t>
  </si>
  <si>
    <t xml:space="preserve"> Customer wanted kerosene/oil fill; rep said Superior sold that business to Mirabito; customer accepted and proceeded with propane only.</t>
  </si>
  <si>
    <t xml:space="preserve"> Customer said no funds for immediate payment; rep offered credit-check 30-day billing terms; customer accepted and proceeded.</t>
  </si>
  <si>
    <t xml:space="preserve">006Rg00000caY5SIAU </t>
  </si>
  <si>
    <t xml:space="preserve"> Customer stated a cheaper offer was accepted and tank was filled elsewhere; declined Superior on price grounds.</t>
  </si>
  <si>
    <t xml:space="preserve">006Rg00000cAyReIAK </t>
  </si>
  <si>
    <t xml:space="preserve"> 1.88V/2.02F/gal </t>
  </si>
  <si>
    <t xml:space="preserve"> Customer asked "if you guys do pre-buy"; rep offered fixed-price alternative at $2.02 for one year; customer engaged and requested emailed quote.</t>
  </si>
  <si>
    <t xml:space="preserve">006Rg00000cbkArIAI </t>
  </si>
  <si>
    <t xml:space="preserve">006Rg00000cbm1NIAQ </t>
  </si>
  <si>
    <t xml:space="preserve"> Customer said "just paid all my money to move in...ain't got nothing extra"; rep offered 30-day credit-check billing terms; customer accepted and signed.</t>
  </si>
  <si>
    <t xml:space="preserve">006Rg00000cBMCDIA4 </t>
  </si>
  <si>
    <t xml:space="preserve"> 2.13 ? 1.99/gal </t>
  </si>
  <si>
    <t xml:space="preserve"> Customer told rep price seemed too cheap jokingly; rate dropped from $2.13 to $1.99 via buying-group referral; customer accepted enthusiastically and signed.</t>
  </si>
  <si>
    <t xml:space="preserve">006Rg00000cBMKHIA4 </t>
  </si>
  <si>
    <t xml:space="preserve"> Customer asked whether 500 or 1000-gallon tank needed; rep deferred to site visit; customer accepted and signed 3-year agreement.</t>
  </si>
  <si>
    <t xml:space="preserve">006Rg00000cBPGXIA4 </t>
  </si>
  <si>
    <t xml:space="preserve"> 1.83V/1.98F/gal </t>
  </si>
  <si>
    <t xml:space="preserve">006Rg00000cBSSxIAO </t>
  </si>
  <si>
    <t xml:space="preserve"> 1.627/gal </t>
  </si>
  <si>
    <t xml:space="preserve"> Customer asked for "prepay fixed plan for 800 gallons"; rep explained Superior offers fixed price not prebuy; customer accepted and signed six days later.</t>
  </si>
  <si>
    <t xml:space="preserve"> Customer asked about upfront-payment discount; rep said rates already competitive, no additional discount; customer absorbed and proceeded to sign.</t>
  </si>
  <si>
    <t xml:space="preserve">006Rg00000cC8okIAC </t>
  </si>
  <si>
    <t xml:space="preserve"> Customer asked "Can I get a one year?...I don't know anything about you"; rep said only 3-year offered; customer read contract and signed anyway.</t>
  </si>
  <si>
    <t xml:space="preserve"> Customer asked about cancellation cost; rep confirmed $250 exit fee; customer absorbed and proceeded to sign the agreement.</t>
  </si>
  <si>
    <t xml:space="preserve">006Rg00000cC57jIAC </t>
  </si>
  <si>
    <t xml:space="preserve"> 2.29F/2.15V/gal </t>
  </si>
  <si>
    <t xml:space="preserve"> Routine new-customer quote gathering; customer wrote details down, agreed to call back within a week; no attribute surfaced as candidate issue</t>
  </si>
  <si>
    <t xml:space="preserve">006Rg00000cC79VIAS </t>
  </si>
  <si>
    <t xml:space="preserve"> Customer wanted to prepay full 550 gallons annually as she had with prior supplier; rep said "our system doesn't have that mechanism" and would check with accounts; opportunity stalled undetermined</t>
  </si>
  <si>
    <t xml:space="preserve">006Rg00000cCAKIIA4 </t>
  </si>
  <si>
    <t xml:space="preserve"> Customer owns 100-lb cylinder in Leisurewood park; two reps confirmed Superior does not fill that tank type ("we can't do the hundred pound cylinders"); customer disengaged and sought other suppliers</t>
  </si>
  <si>
    <t xml:space="preserve">006Rg00000cCE4kIAG </t>
  </si>
  <si>
    <t xml:space="preserve"> 1.59 ? 1.54V/gal </t>
  </si>
  <si>
    <t xml:space="preserve"> admin </t>
  </si>
  <si>
    <t xml:space="preserve"> Customer reacted "Oh wow" to $49 fixed-price enrollment fee and elected variable rate instead; deal proceeded through credit approval, agreement signed, no further drag</t>
  </si>
  <si>
    <t xml:space="preserve">006Rg00000cCGMUIA4 </t>
  </si>
  <si>
    <t xml:space="preserve"> 1.74F/1.59V/gal </t>
  </si>
  <si>
    <t xml:space="preserve"> Customer collecting info to discuss with son; quote saved; no attribute surfaced as candidate issue</t>
  </si>
  <si>
    <t xml:space="preserve">006Rg00000cEDcFIAW </t>
  </si>
  <si>
    <t xml:space="preserve"> 2.056/gal </t>
  </si>
  <si>
    <t xml:space="preserve"> New service via landlord; customer engaged with pricing, chose fixed rate for promo eligibility, credit approved, agreement signed same call</t>
  </si>
  <si>
    <t xml:space="preserve">006Rg00000cEFCbIAO </t>
  </si>
  <si>
    <t xml:space="preserve"> 1.99V/gal </t>
  </si>
  <si>
    <t xml:space="preserve"> Ferrell Gas customer requesting quote; asked about hidden "hazardous pay" fee, rep confirmed none beyond disclosed transportation fee; quote emailed for review, no objection raised</t>
  </si>
  <si>
    <t xml:space="preserve">006Rg00000cEFZLIA4 </t>
  </si>
  <si>
    <t xml:space="preserve"> Voicemail pitching customer-owned tank fill promo to Bill; no customer response captured</t>
  </si>
  <si>
    <t xml:space="preserve">006Rg00000cEp6gIAC </t>
  </si>
  <si>
    <t xml:space="preserve"> 1.67/gal </t>
  </si>
  <si>
    <t xml:space="preserve"> Voicemail pitching COT fill promo to Steve; no customer response captured</t>
  </si>
  <si>
    <t xml:space="preserve">006Rg00000cEr3OIAS </t>
  </si>
  <si>
    <t xml:space="preserve"> 1.94V/2.09F/gal </t>
  </si>
  <si>
    <t xml:space="preserve"> Former customer asked for pre-buy rate; rep confirmed not offered but presented fixed price as equivalent; customer said "sounds like a deal" and will check current supplier's exit terms</t>
  </si>
  <si>
    <t xml:space="preserve">006Rg00000cEr6cIAC </t>
  </si>
  <si>
    <t xml:space="preserve"> 2.94V (cook)/1.54V (cook+boiler)/gal </t>
  </si>
  <si>
    <t xml:space="preserve"> Customer gathering quotes for future boiler install (August timeframe); engaged with pricing, no attribute objected to; will follow up after other quotes</t>
  </si>
  <si>
    <t xml:space="preserve">006Rg00000cEskMIAS </t>
  </si>
  <si>
    <t xml:space="preserve"> Customer wants Page Trucking employee rate ($1.69); rep confirmed rate exists but requires account setup via Page channel, not this rep; customer will route through Page</t>
  </si>
  <si>
    <t xml:space="preserve">006Rg00000cEsVhIAK </t>
  </si>
  <si>
    <t xml:space="preserve"> Customer pushed back on $300 install fee ("no equipment needed"), rejected rep's explanation of lines/regulators/labor scope, disengaged to shop competitors</t>
  </si>
  <si>
    <t xml:space="preserve">006Rg00000cEUoLIAW </t>
  </si>
  <si>
    <t xml:space="preserve"> 1.963V/2.109F/gal </t>
  </si>
  <si>
    <t xml:space="preserve"> Suburban customer with underground tank; barrier is third-party tank purchase/removal from Suburban and truck access concerns — non-offer, external logistics, out of scope; engaged favorably with pricing</t>
  </si>
  <si>
    <t xml:space="preserve">006Rg00000cF1IsIAK </t>
  </si>
  <si>
    <t xml:space="preserve"> Multi-segment outbound campaign — all voicemails to Ken and Nancy from Linda; no customer engagement captured, no candidate issue surfaced</t>
  </si>
  <si>
    <t xml:space="preserve">006Rg00000cF2mvIAC </t>
  </si>
  <si>
    <t xml:space="preserve"> rate-increase </t>
  </si>
  <si>
    <t xml:space="preserve"> Former customer Marvin cited "pricing" as reason for prior switch and declined to hear a new quote; no current rate on the table so historic pricing complaint is context only</t>
  </si>
  <si>
    <t xml:space="preserve">006Rg00000cF2n3IAC </t>
  </si>
  <si>
    <t xml:space="preserve"> Voicemail to Michael pitching customer-owned tank fill promo at $1.59/gal; no customer response captured</t>
  </si>
  <si>
    <t xml:space="preserve">006Rg00000cF40oIAC </t>
  </si>
  <si>
    <t xml:space="preserve"> ~2.00/gal </t>
  </si>
  <si>
    <t xml:space="preserve"> Customer asked lock-in rate for Moores NY, rep quoted "around $2 and…" from Port Henry office; customer said "that's a long ways of drive. No, that price would be too high" and ended call</t>
  </si>
  <si>
    <t xml:space="preserve">006Rg00000cFcdNIAS </t>
  </si>
  <si>
    <t xml:space="preserve"> 1.89F/1.74V/gal </t>
  </si>
  <si>
    <t xml:space="preserve"> Gail Muller COT inquiry engaged normally with pricing, safety inspection ($99), fixed enrollment ($49), 3-year agreement all disclosed and absorbed; will discuss with husband — no attribute objected to</t>
  </si>
  <si>
    <t xml:space="preserve">006Rg00000cFihEIAS </t>
  </si>
  <si>
    <t xml:space="preserve"> Existing customer added new property, accepted discounted rate with $250+$250 promo, signed agreement same call; no candidate issue</t>
  </si>
  <si>
    <t xml:space="preserve">006Rg00000cFnqbIAC </t>
  </si>
  <si>
    <t xml:space="preserve">006Rg00000cFIWbIAO </t>
  </si>
  <si>
    <t xml:space="preserve"> Customer said yearly rental was her "biggest concern"; rep offered conditional heating-migration waiver; she noted for husband and continued gathering info without progression drag.</t>
  </si>
  <si>
    <t xml:space="preserve"> 2.36/2.05/gal </t>
  </si>
  <si>
    <t xml:space="preserve"> Customer asked "can I buy the tanks?"; rep said Superior doesn't sell them; customer said tanks were cheaper elsewhere, deferred, follow-up confirmed not ready.</t>
  </si>
  <si>
    <t xml:space="preserve">006Rg00000cFojOIAS </t>
  </si>
  <si>
    <t xml:space="preserve"> 1.76/gal </t>
  </si>
  <si>
    <t xml:space="preserve">006Rg00000cG1OrIAK </t>
  </si>
  <si>
    <t xml:space="preserve">006Rg00000cggPzIAI </t>
  </si>
  <si>
    <t xml:space="preserve"> 2.18F/2.12V/gal </t>
  </si>
  <si>
    <t xml:space="preserve">006Rg00000cgnjBIAQ </t>
  </si>
  <si>
    <t xml:space="preserve"> Customer told Julie incumbent "lowered my price a lot" and will stay with them; declined Superior on that basis.</t>
  </si>
  <si>
    <t xml:space="preserve">006Rg00000cgOpdIAE </t>
  </si>
  <si>
    <t xml:space="preserve"> 2.03 ? 1.75/gal </t>
  </si>
  <si>
    <t xml:space="preserve">006Rg00000cguWAIAY </t>
  </si>
  <si>
    <t xml:space="preserve"> Customer asked for pre-buy program; rep confirmed unavailable and offered fixed; customer said "sounds good" and ended call while price-checking multiple suppliers.</t>
  </si>
  <si>
    <t xml:space="preserve">006Rg00000cgvTrIAI </t>
  </si>
  <si>
    <t xml:space="preserve"> 2.02F/1.93V </t>
  </si>
  <si>
    <t xml:space="preserve"> Customer identified 3-year agreement as the "no, no, no point" due to husband's contract aversion; ended without signing; VM follow-up unanswered.</t>
  </si>
  <si>
    <t xml:space="preserve">006Rg00000cgxsDIAQ </t>
  </si>
  <si>
    <t xml:space="preserve"> 1.72/gal </t>
  </si>
  <si>
    <t xml:space="preserve">006Rg00000cgzjPIAQ </t>
  </si>
  <si>
    <t xml:space="preserve">006Rg00000ch1NxIAI </t>
  </si>
  <si>
    <t xml:space="preserve"> Customer refused required credit check for billing terms/auto-pay, called it "offensive"; disengaged and switched to another supplier before Romania's follow-up COD offer.</t>
  </si>
  <si>
    <t xml:space="preserve">006Rg00000ch3HhIAI </t>
  </si>
  <si>
    <t xml:space="preserve">006Rg00000ch3zHIAQ </t>
  </si>
  <si>
    <t xml:space="preserve">006Rg00000cHaXbIAK </t>
  </si>
  <si>
    <t xml:space="preserve"> 1.88F/2.02V </t>
  </si>
  <si>
    <t xml:space="preserve">006Rg00000cHBSlIAO </t>
  </si>
  <si>
    <t xml:space="preserve">006Rg00000chBYcIAM </t>
  </si>
  <si>
    <t xml:space="preserve">006Rg00000chDozIAE </t>
  </si>
  <si>
    <t xml:space="preserve">006Rg00000cHfdbIAC </t>
  </si>
  <si>
    <t xml:space="preserve">006Rg00000cHkJtIAK </t>
  </si>
  <si>
    <t xml:space="preserve">006Rg00000cHos9IAC </t>
  </si>
  <si>
    <t xml:space="preserve"> 1.72 ? 1.87/gal </t>
  </si>
  <si>
    <t xml:space="preserve"> Customer asked "how much is the determination and the pickup"; rep quoted $250 pickup + $250 termination; customer said "interesting" and signed; later same-day cancellation had no stated cause.</t>
  </si>
  <si>
    <t xml:space="preserve">006Rg00000chpRBIAY </t>
  </si>
  <si>
    <t xml:space="preserve"> 2.02V/1.95F </t>
  </si>
  <si>
    <t xml:space="preserve"> MUC $120/yr disclosed for tank under 125 gal usage; customer uses "about half the tank" (~50 gal); accepted the answer and left to "do some figuring" citing Amerigas removal logistics, not the MUC.</t>
  </si>
  <si>
    <t xml:space="preserve">006Rg00000chrBFIAY </t>
  </si>
  <si>
    <t xml:space="preserve">006Rg00000chrUbIAI </t>
  </si>
  <si>
    <t xml:space="preserve"> Customer asked "any better deal if I prepay?"; rep confirmed no prebuy discount (retail applied); customer said "I might as well stay with the 1.97 fixed" and signed.</t>
  </si>
  <si>
    <t xml:space="preserve">006Rg00000cHZMtIAO </t>
  </si>
  <si>
    <t xml:space="preserve"> 1.94V / 2.09F </t>
  </si>
  <si>
    <t xml:space="preserve"> Customer asked for "summer buyout"; rep explained fixed 2.09/gal for one year instead; customer engaged with fixed structure, no rejection of the alternative.</t>
  </si>
  <si>
    <t xml:space="preserve">006Rg00000cI1PZIA0 </t>
  </si>
  <si>
    <t xml:space="preserve"> 2.05V / 2.19F </t>
  </si>
  <si>
    <t xml:space="preserve">006Rg00000ci2g9IAA </t>
  </si>
  <si>
    <t xml:space="preserve"> 2.15/gal </t>
  </si>
  <si>
    <t xml:space="preserve">006Rg00000cINJdIAO </t>
  </si>
  <si>
    <t xml:space="preserve"> 1.69V / 1.83F </t>
  </si>
  <si>
    <t xml:space="preserve">006Rg00000cIudlIAC </t>
  </si>
  <si>
    <t xml:space="preserve"> 2.00 ? 1.76/gal </t>
  </si>
  <si>
    <t xml:space="preserve">006Rg00000cIVE7IAO </t>
  </si>
  <si>
    <t xml:space="preserve"> Customer asked "am I obligated to buy your propane for a certain amount of years"; rep confirmed 3-year contract; customer replied "I'm okay with that" and proceeded to install scheduling.</t>
  </si>
  <si>
    <t xml:space="preserve">006Rg00000cJ0EZIA0 </t>
  </si>
  <si>
    <t xml:space="preserve">006Rg00000cjcUsIAI </t>
  </si>
  <si>
    <t xml:space="preserve"> 1.67V/1.83F </t>
  </si>
  <si>
    <t xml:space="preserve"> Customer asked for prebuy program; rep explained "we don't offer pre-buy anymore" and offered fixed 1.83 until April; customer engaged with alternative and said pricing looks good.</t>
  </si>
  <si>
    <t xml:space="preserve">006Rg00000cjkf8IAA </t>
  </si>
  <si>
    <t xml:space="preserve"> 2.05 ? 2.00/gal </t>
  </si>
  <si>
    <t xml:space="preserve"> Customer flagged $14.95 per-delivery transportation fee, cited "another company that didn't charge any fees whatsoever," shopped, returned and signed at same fee.</t>
  </si>
  <si>
    <t xml:space="preserve">006Rg00000cjmvSIAQ </t>
  </si>
  <si>
    <t xml:space="preserve">006Rg00000cjvfNIAQ </t>
  </si>
  <si>
    <t xml:space="preserve"> 1.63/gal fixed </t>
  </si>
  <si>
    <t xml:space="preserve"> Customer said "I usually like to prepay my propane"; rep offered fixed rate instead; customer replied "Okay, well that's what I was looking for" and proceeded.</t>
  </si>
  <si>
    <t xml:space="preserve">006Rg00000ck101IAA </t>
  </si>
  <si>
    <t xml:space="preserve"> 1.69/1.84/gal </t>
  </si>
  <si>
    <t xml:space="preserve"> Customer asked about capped variable "can either go up five or down five"; rep confirmed not offered anymore; customer said "Okay" and continued asking about other fees.</t>
  </si>
  <si>
    <t xml:space="preserve">006Rg00000ckayhIAA </t>
  </si>
  <si>
    <t xml:space="preserve"> 1.65/1.80/gal </t>
  </si>
  <si>
    <t xml:space="preserve">006Rg00000ckccHIAQ </t>
  </si>
  <si>
    <t xml:space="preserve">006Rg00000ckLjVIAU </t>
  </si>
  <si>
    <t xml:space="preserve">006Rg00000cknpaIAA </t>
  </si>
  <si>
    <t xml:space="preserve">006Rg00000ckpeMIAQ </t>
  </si>
  <si>
    <t xml:space="preserve">006Rg00000cks1AIAQ </t>
  </si>
  <si>
    <t xml:space="preserve"> 1.87/1.96/gal </t>
  </si>
  <si>
    <t xml:space="preserve">006Rg00000cl1fWIAQ </t>
  </si>
  <si>
    <t xml:space="preserve">006Rg00000cN71KIAS </t>
  </si>
  <si>
    <t xml:space="preserve"> Customer asked "is there... an option to purchase the tank so I don't have to rent that every year?"; rep said tanks not sold; customer flagged rental as year-over-year expense and ended undetermined.</t>
  </si>
  <si>
    <t xml:space="preserve">006Rg00000cNI81IAG </t>
  </si>
  <si>
    <t xml:space="preserve"> 1.65/gal fixed </t>
  </si>
  <si>
    <t xml:space="preserve"> Customer asked "do you guys have a program where you can prepay for a locked-in price"; rep offered fixed rate at 1.65 with $49 enrollment; customer said "can I get back with you" without objection.</t>
  </si>
  <si>
    <t xml:space="preserve">006Rg00000cnjklIAA </t>
  </si>
  <si>
    <t xml:space="preserve"> 1.82/1.83/gal </t>
  </si>
  <si>
    <t xml:space="preserve">006Rg00000cNM3ZIAW </t>
  </si>
  <si>
    <t xml:space="preserve"> 1.76/1.75/gal </t>
  </si>
  <si>
    <t xml:space="preserve"> Customer asked "You don't sell tanks, do you?"; rep confirmed lease only; customer said "Only lease the tanks" and moved on to other questions without pushback.</t>
  </si>
  <si>
    <t xml:space="preserve"> Customer asked "what happens if I don't use enough of fuel in the first year?"; rep explained ~$145 MUC below 125 gallons; customer acknowledged uncertainty on usage and ended holding quote.</t>
  </si>
  <si>
    <t xml:space="preserve">006Rg00000cNRMbIAO </t>
  </si>
  <si>
    <t xml:space="preserve"> 2.05/2.36/gal </t>
  </si>
  <si>
    <t xml:space="preserve"> Customer said "$480 a year... I could get tanks for cheaper than that for the rental"; rep confirmed tanks not sold; customer said "I'll have to get back to you" without further pursuit.</t>
  </si>
  <si>
    <t xml:space="preserve">006Rg00000cntThIAI </t>
  </si>
  <si>
    <t xml:space="preserve"> 2.07/2.13/gal </t>
  </si>
  <si>
    <t xml:space="preserve"> Customer asked "what's it if you buy ahead... I usually pre-buy for the year"; rep explained fixed-price plan at 2.13 with same lock-in behaviour; customer said "that is a lot better" and enrolled.</t>
  </si>
  <si>
    <t xml:space="preserve">006Rg00000cNzjFIAS </t>
  </si>
  <si>
    <t xml:space="preserve"> 1.78/1.89/gal </t>
  </si>
  <si>
    <t xml:space="preserve">006Rg00000cO1oHIAS </t>
  </si>
  <si>
    <t xml:space="preserve"> 2.04/gal </t>
  </si>
  <si>
    <t xml:space="preserve">006Rg00000co4QjIAI </t>
  </si>
  <si>
    <t xml:space="preserve"> Customer reacts "Holy crap" to $165/hr labor rate for pool-heater install; rep defers cost to site-visit estimate; customer proceeds and signs T&amp;Cs.</t>
  </si>
  <si>
    <t xml:space="preserve">006Rg00000co9wfIAA </t>
  </si>
  <si>
    <t xml:space="preserve">006Rg00000cohlRIAQ </t>
  </si>
  <si>
    <t xml:space="preserve">006Rg00000cOHMnIAO </t>
  </si>
  <si>
    <t xml:space="preserve"> Customer has no email/internet across 4 segments; rep cannot send DocuSign supply agreement; deal stalled awaiting future cell-phone signing workaround.</t>
  </si>
  <si>
    <t xml:space="preserve"> Customer asks for one-year arrangement (summer home); rep says only 3-year offered; customer replies "That would be fine" and continues.</t>
  </si>
  <si>
    <t xml:space="preserve">006Rg00000cooTZIAY </t>
  </si>
  <si>
    <t xml:space="preserve"> 2.52/gal </t>
  </si>
  <si>
    <t xml:space="preserve">006Rg00000cOOwCIAW </t>
  </si>
  <si>
    <t xml:space="preserve"> 1.66V/1.81F </t>
  </si>
  <si>
    <t xml:space="preserve"> Customer asks "what happens if you want to pre-buy?"; rep confirms no prebuy year one, fixed rate "better than pre-buy" per manager; customer continues shopping without committing.</t>
  </si>
  <si>
    <t xml:space="preserve"> Customer questions 3-year lock: "I can't be locked into that"; rep clarifies commitment is nominal for customer-owned tank; customer accepts framing and moves on.</t>
  </si>
  <si>
    <t xml:space="preserve">006Rg00000coSUhIAM </t>
  </si>
  <si>
    <t xml:space="preserve"> 1.90V/1.99F </t>
  </si>
  <si>
    <t xml:space="preserve"> Customer asks about prebuy; rep says not offered year one, only fixed; customer accepts fixed framing ("That would be fine") and continues shopping.</t>
  </si>
  <si>
    <t xml:space="preserve"> Low-Medium </t>
  </si>
  <si>
    <t xml:space="preserve"> Customer asks "ballpark, is it that the rate goes up higher" year 2; rep says "$227" average; customer accepts and thanks rep — inquiry, not resistance.</t>
  </si>
  <si>
    <t xml:space="preserve">006Rg00000coUY5IAM </t>
  </si>
  <si>
    <t xml:space="preserve"> 3.07/gal </t>
  </si>
  <si>
    <t xml:space="preserve"> Customer: "Why does it take so long?" (1.5-week install); rep explains scheduling backlog; customer defers, then re-engages in Seg 2 to proceed.</t>
  </si>
  <si>
    <t xml:space="preserve">006Rg00000cOWsFIAW </t>
  </si>
  <si>
    <t xml:space="preserve"> 3.72 ? 3.67/gal </t>
  </si>
  <si>
    <t xml:space="preserve">006Rg00000cOyRvIAK </t>
  </si>
  <si>
    <t xml:space="preserve">006Rg00000cP0WoIAK </t>
  </si>
  <si>
    <t xml:space="preserve"> Customer surprised by $39.99/mo generator-package rental: "that's an extra charge I wasn't planning on"; rep explains no MUC offset; customer accepts and signs agreement.</t>
  </si>
  <si>
    <t xml:space="preserve">006Rg00000cqb0oIAA </t>
  </si>
  <si>
    <t xml:space="preserve"> 1.795/gal </t>
  </si>
  <si>
    <t xml:space="preserve"> Customer notes Superior rate is "half the price of the people that are already there"; comparison favors Superior; customer wants to proceed, waiting on camp owner to release tanks.</t>
  </si>
  <si>
    <t xml:space="preserve">006Rg00000cQcTaIAK </t>
  </si>
  <si>
    <t xml:space="preserve"> 2.24/gal </t>
  </si>
  <si>
    <t xml:space="preserve">006Rg00000cqdDtIAI </t>
  </si>
  <si>
    <t xml:space="preserve"> 1.76V/1.91F </t>
  </si>
  <si>
    <t xml:space="preserve"> Customer reacts "Oh, okay" to $99 safety-inspection fee for own-tank setup then says "let me get back to you"; disengages without specific pushback tied to fee.</t>
  </si>
  <si>
    <t xml:space="preserve">006Rg00000cQg7PIAS </t>
  </si>
  <si>
    <t xml:space="preserve"> Customer states "I don't like any surprises" learning of $29.95 will-call transportation fee; rep clarifies auto-delivery waives it; customer accepts and continues.</t>
  </si>
  <si>
    <t xml:space="preserve"> Own-tank customer stated 8-month cycle and will-call at 10%; $99 leak test plus unavoidable $29.95/fill (waiver requires auto-delivery) hit her stated profile; ended shopping, no competing cause.</t>
  </si>
  <si>
    <t xml:space="preserve">006Rg00000cQj6rIAC </t>
  </si>
  <si>
    <t xml:space="preserve"> Customer offered to sign at office; rep required e-sign only, forcing workaround through sister's email at Barney's Lawn Care to complete setup.</t>
  </si>
  <si>
    <t xml:space="preserve">006Rg00000cqoPSIAY </t>
  </si>
  <si>
    <t xml:space="preserve"> 1.52V/1.61F/gal </t>
  </si>
  <si>
    <t xml:space="preserve">006Rg00000cqpBsIAI </t>
  </si>
  <si>
    <t xml:space="preserve"> Customer asked "if I want to buy the tank do I have the choice"; rep replied "we don't sell our tanks, we only rent them"; customer accepted lease and moved to consult wife.</t>
  </si>
  <si>
    <t xml:space="preserve"> Customer asked for 200-lb cylinder; rep confirmed Superior does not fill cylinders, minimum is 60-gal tank; customer said "forget about that" and accepted 120-gal.</t>
  </si>
  <si>
    <t xml:space="preserve">006Rg00000cqSf3IAE </t>
  </si>
  <si>
    <t xml:space="preserve">006Rg00000cqUs9IAE </t>
  </si>
  <si>
    <t xml:space="preserve"> Customer wanted pre-buy like Suburban; rep explained no pre-buy but fixed rate holds price with no upfront payment; customer accepted fixed rate and proceeded to setup.</t>
  </si>
  <si>
    <t xml:space="preserve">006Rg00000cqXGgIAM </t>
  </si>
  <si>
    <t xml:space="preserve"> 2.40 ? 2.90/gal </t>
  </si>
  <si>
    <t xml:space="preserve"> Customer cited Terry at Lictus quoting $2.40 and demanded concession; rep could not adjust from system-quoted $2.90 but logged note for accounts to honor 2.40; deal proceeded with drag.</t>
  </si>
  <si>
    <t xml:space="preserve">006Rg00000cQxPxIAK </t>
  </si>
  <si>
    <t xml:space="preserve">006Rg00000cqy8iIAA </t>
  </si>
  <si>
    <t xml:space="preserve"> Customer feared intro-rate trap ("next year it's like $3 a gallon"); rep explained usage-based pricing model, no first-fill discount; customer accepted and signed.</t>
  </si>
  <si>
    <t xml:space="preserve">006Rg00000cr0f7IAA </t>
  </si>
  <si>
    <t xml:space="preserve"> 1.88V/1.96F/gal </t>
  </si>
  <si>
    <t xml:space="preserve">006Rg00000cR0PRIA0 </t>
  </si>
  <si>
    <t xml:space="preserve"> Customer objected to $99 safety check as making price uncompetitive vs other suppliers; rep escalated to manager who waived the fee, deal proceeded.</t>
  </si>
  <si>
    <t xml:space="preserve">006Rg00000cR7VlIAK </t>
  </si>
  <si>
    <t xml:space="preserve"> 2.26V/2.30F/gal </t>
  </si>
  <si>
    <t xml:space="preserve">006Rg00000crb8RIAQ </t>
  </si>
  <si>
    <t xml:space="preserve"> Customer wanted 3-yr fixed $1.90 promo with waived rental/transport; rep confirmed promo excludes own-tank customers; customer declined and asked to be removed from list.</t>
  </si>
  <si>
    <t xml:space="preserve">006Rg00000crg9iIAA </t>
  </si>
  <si>
    <t xml:space="preserve"> 2.34F/2.51V/gal </t>
  </si>
  <si>
    <t xml:space="preserve"> admin/objection </t>
  </si>
  <si>
    <t xml:space="preserve"> Customer noted $49 fixed-price enrollment fee: "I didn't get that from other companies, they don't do that"; comment absorbed, customer handed decision to wife without concession.</t>
  </si>
  <si>
    <t xml:space="preserve">006Rg00000crhCDIAY </t>
  </si>
  <si>
    <t xml:space="preserve"> 1.97V ? 2.12F/gal </t>
  </si>
  <si>
    <t xml:space="preserve"> Customer noted fixed rate came back higher than initial variable quote and combined with delivery fees questioned worth of switching; deal stalled pending review with wife.</t>
  </si>
  <si>
    <t xml:space="preserve"> Customer added $14.95 delivery per tank location into bundled cost concern ("by the time I add it up"); noted alongside rate but not separately pursued.</t>
  </si>
  <si>
    <t xml:space="preserve">006Rg00000crlanIAA </t>
  </si>
  <si>
    <t xml:space="preserve">006Rg00000cRLgoIAG </t>
  </si>
  <si>
    <t xml:space="preserve">006Rg00000croVRIAY </t>
  </si>
  <si>
    <t xml:space="preserve">006Rg00000crRFWIA2 </t>
  </si>
  <si>
    <t xml:space="preserve">006Rg00000cRtqXIAS </t>
  </si>
  <si>
    <t xml:space="preserve"> 1.66V/1.69F/gal </t>
  </si>
  <si>
    <t xml:space="preserve"> Next-day callback: "you guys have way too many fees. we're all set" — declined citing fee stack ($100 rental, $29.90/$14.95 delivery, $49 enrollment).</t>
  </si>
  <si>
    <t xml:space="preserve">006Rg00000crWS5IAM </t>
  </si>
  <si>
    <t xml:space="preserve"> 2.03/gal </t>
  </si>
  <si>
    <t xml:space="preserve"> Customer asked for pre-buy; rep offered fixed-rate lock with no upfront payment as functional equivalent; customer accepted alternative and moved to discuss with husband.</t>
  </si>
  <si>
    <t xml:space="preserve"> Callback: customer cited mother paying $3.79 vs her $2.03 quote as unfair practice; declined stating "I won't be on as a new customer because I think that's really unfair."</t>
  </si>
  <si>
    <t xml:space="preserve"> equipment size</t>
  </si>
  <si>
    <t xml:space="preserve">service capability </t>
  </si>
  <si>
    <t xml:space="preserve">service timeline </t>
  </si>
  <si>
    <t xml:space="preserve"> ownership / purchase</t>
  </si>
  <si>
    <t>Closed Won SQL</t>
  </si>
  <si>
    <t>Open SQL</t>
  </si>
  <si>
    <t>Count Total</t>
  </si>
  <si>
    <t xml:space="preserve">006Rg00000cXY8IIAW </t>
  </si>
  <si>
    <t xml:space="preserve"> 2.03F/1.96V/gal </t>
  </si>
  <si>
    <t xml:space="preserve">006Rg00000cY3KAIA0 </t>
  </si>
  <si>
    <t xml:space="preserve">006Rg00000cysfgIAA </t>
  </si>
  <si>
    <t xml:space="preserve"> Customer's existing skinny sub-100 lb tank not fillable ("we don't deliver to" that size); customer pivoted to lease quote and continued engaging</t>
  </si>
  <si>
    <t xml:space="preserve"> At stated 15 gal/yr cook-only usage, $70 rental + $120 MUC ($190/yr) vastly exceeds ~$31 propane spend; customer still shopping July 2</t>
  </si>
  <si>
    <t xml:space="preserve">006Rg00000cytgVIAQ </t>
  </si>
  <si>
    <t xml:space="preserve"> Customer wanted 100-lb cylinder visual cert + fill; rep confirms storefronts no longer provide that service; customer ends call</t>
  </si>
  <si>
    <t xml:space="preserve">006Rg00000cYYPZIA4 </t>
  </si>
  <si>
    <t xml:space="preserve"> 1.83F/1.73V/gal </t>
  </si>
  <si>
    <t xml:space="preserve"> Customer asked for "summer pre-buy or like summer fill and then pre-buy for winter"; rep: "We don't offer a pre-buy"; customer defers to husband, no re-engagement in remaining segment</t>
  </si>
  <si>
    <t xml:space="preserve">006Rg00000cz0qIIAQ </t>
  </si>
  <si>
    <t xml:space="preserve"> Rep required signed 3-yr lease, credit check, auto-delivery before site assessment; customer wanted estimate only, agreed on call, then never returned paperwork despite multiple follow-up voicemails</t>
  </si>
  <si>
    <t xml:space="preserve">006Rg00000cZ2ibIAC </t>
  </si>
  <si>
    <t xml:space="preserve">006Rg00000cz96vIAA </t>
  </si>
  <si>
    <t xml:space="preserve"> 1.55F/1.52V/gal </t>
  </si>
  <si>
    <t xml:space="preserve">006Rg00000czAW1IAM </t>
  </si>
  <si>
    <t xml:space="preserve"> Customer pushed back on $99 leak-test fee ("they should pay me $100, this is ridiculous") but proceeded to sign, no concession granted</t>
  </si>
  <si>
    <t xml:space="preserve">006Rg00000czDP3IAM </t>
  </si>
  <si>
    <t xml:space="preserve"> 1.96F/1.88V/gal </t>
  </si>
  <si>
    <t xml:space="preserve">006Rg00000czFsIIAU </t>
  </si>
  <si>
    <t xml:space="preserve"> Customer wanted $500 new-customer promo; rep confirms promo excludes customer-owned tanks; customer chose ownership path and continued engaging on cust-owned pricing</t>
  </si>
  <si>
    <t xml:space="preserve">006Rg00000czhVCIAY </t>
  </si>
  <si>
    <t xml:space="preserve"> Seg 2 callback: $190/yr fixed fees (rental $70 + MUC $120) + $30 delivery on 20-25 gal cook-only made deal uneconomical; customer explicitly declined</t>
  </si>
  <si>
    <t xml:space="preserve"> Wanted $500 new-customer credit; rep confirms leased-tank-only ("this promotion is only good for rented tanks"); customer accepted but ultimately died on economics</t>
  </si>
  <si>
    <t xml:space="preserve">006Rg00000czizAIAQ </t>
  </si>
  <si>
    <t xml:space="preserve">006Rg00000czj5bIAA </t>
  </si>
  <si>
    <t xml:space="preserve"> 1.79F/1.64V/gal </t>
  </si>
  <si>
    <t xml:space="preserve">006Rg00000czMNVIA2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</si>
</sst>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midipati, Abhi" refreshedDate="46223.7871443287" createdVersion="8" refreshedVersion="8" minRefreshableVersion="3" recordCount="579" xr:uid="{F6958559-5EE4-4522-8D20-EFAA2EEFC35F}">
  <cacheSource type="worksheet">
    <worksheetSource ref="B1:N580" sheet="AI Output"/>
  </cacheSource>
  <cacheFields count="13">
    <cacheField name="Batch" numFmtId="0">
      <sharedItems containsSemiMixedTypes="0" containsString="0" containsNumber="1" containsInteger="1" minValue="1" maxValue="37"/>
    </cacheField>
    <cacheField name="Opp ID " numFmtId="0">
      <sharedItems/>
    </cacheField>
    <cacheField name=" Rate " numFmtId="0">
      <sharedItems containsBlank="1"/>
    </cacheField>
    <cacheField name=" Code " numFmtId="0">
      <sharedItems/>
    </cacheField>
    <cacheField name=" Primary " numFmtId="0">
      <sharedItems/>
    </cacheField>
    <cacheField name=" Qualifier " numFmtId="0">
      <sharedItems count="45">
        <s v=" — "/>
        <s v=" ownership "/>
        <s v=" current-supplier "/>
        <s v=" other "/>
        <s v=" rate-mechanism "/>
        <s v=" rental/economics "/>
        <s v=" install/objection "/>
        <s v=" rental/objection "/>
        <s v=" commitment-length "/>
        <s v=" process "/>
        <s v=" delivery/objection "/>
        <s v=" MUC/objection "/>
        <s v=" threshold "/>
        <s v=" equipment "/>
        <s v=" install/economics "/>
        <s v=" prebuy "/>
        <s v=" timeline "/>
        <s v=" stack/economics "/>
        <s v=" prior-offer "/>
        <s v=" exit-terms "/>
        <s v=" delivery "/>
        <s v=" capability "/>
        <s v=" inspection/objection "/>
        <s v=" MUC/other "/>
        <s v=" high-rate "/>
        <s v=" payment-billing "/>
        <s v=" referral "/>
        <s v=" delivery/other "/>
        <s v=" monitoring/objection "/>
        <s v=" stack "/>
        <s v=" competitor-rate "/>
        <s v=" complexity "/>
        <s v=" policy-gate "/>
        <s v=" timing "/>
        <s v=" stack/objection "/>
        <s v=" supply-terms "/>
        <s v=" MUC/economics "/>
        <s v=" install "/>
        <s v=" delivery-model "/>
        <s v=" price-match "/>
        <s v=" stacking "/>
        <s v=" inspection "/>
        <s v=" admin "/>
        <s v=" rate-increase "/>
        <s v=" admin/objection "/>
      </sharedItems>
    </cacheField>
    <cacheField name=" Disposition " numFmtId="0">
      <sharedItems count="7">
        <s v=" — "/>
        <s v=" hard_blocker "/>
        <s v=" mention_only "/>
        <s v=" resolved "/>
        <s v=" insufficient_evidence "/>
        <s v=" friction "/>
        <s v=" latent "/>
      </sharedItems>
    </cacheField>
    <cacheField name=" Confidence " numFmtId="0">
      <sharedItems/>
    </cacheField>
    <cacheField name=" Evidence" numFmtId="0">
      <sharedItems/>
    </cacheField>
    <cacheField name="Key" numFmtId="0">
      <sharedItems/>
    </cacheField>
    <cacheField name="Code Name" numFmtId="0">
      <sharedItems count="7">
        <e v="#N/A"/>
        <s v="4C. Commercial Model"/>
        <s v="4A. Rate Uncompetitive"/>
        <s v="4B. Ancillary Fees"/>
        <s v="4D. Contract Mechanics"/>
        <s v="4F. Promotion Ineligibility"/>
        <s v="4E. Availability / Serviceability"/>
      </sharedItems>
    </cacheField>
    <cacheField name="Opp ID 2" numFmtId="0">
      <sharedItems/>
    </cacheField>
    <cacheField name="Salesforce Stage" numFmtId="0">
      <sharedItems count="2">
        <s v="Open"/>
        <s v="Closed W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n v="7"/>
    <s v="006Rg00000aP8UEIA0 "/>
    <s v=" 1.93/gal "/>
    <s v=" — "/>
    <s v=" — "/>
    <x v="0"/>
    <x v="0"/>
    <s v=" — "/>
    <s v=" —"/>
    <s v="—"/>
    <x v="0"/>
    <s v="006Rg00000aP8UEIA0"/>
    <x v="0"/>
  </r>
  <r>
    <n v="7"/>
    <s v="006Rg00000apbAUIAY "/>
    <s v=" — "/>
    <s v=" 4C "/>
    <s v=" Yes "/>
    <x v="1"/>
    <x v="1"/>
    <s v=" High "/>
    <s v=" Customer wanted to purchase own tank; rep confirmed &quot;we don't sell our tanks... not at this location&quot;; customer went with alternate supplier."/>
    <s v="4C"/>
    <x v="1"/>
    <s v="006Rg00000apbAUIAY"/>
    <x v="0"/>
  </r>
  <r>
    <n v="7"/>
    <s v="006Rg00000apbFJIAY "/>
    <s v=" 3.29/gal "/>
    <s v=" — "/>
    <s v=" — "/>
    <x v="0"/>
    <x v="0"/>
    <s v=" — "/>
    <s v=" —"/>
    <s v="—"/>
    <x v="0"/>
    <s v="006Rg00000apbFJIAY"/>
    <x v="0"/>
  </r>
  <r>
    <n v="7"/>
    <s v="006Rg00000apIfjIAE "/>
    <s v=" 2.04V/2.15F/gal "/>
    <s v=" 4A "/>
    <s v=" Yes "/>
    <x v="2"/>
    <x v="1"/>
    <s v=" High "/>
    <s v=" Customer's current supplier suddenly matched Superior's contract they previously refused; customer stayed with incumbent."/>
    <s v="4A"/>
    <x v="2"/>
    <s v="006Rg00000apIfjIAE"/>
    <x v="0"/>
  </r>
  <r>
    <n v="7"/>
    <s v="006Rg00000aPmZaIAK "/>
    <s v=" 2.12/gal "/>
    <s v=" 4A "/>
    <s v=" — "/>
    <x v="3"/>
    <x v="2"/>
    <s v=" Medium "/>
    <s v=" Customer noted parity with existing-customer lock rate: &quot;same as me then. So I'm not getting any kind of special discount&quot;; absorbed and signed at $2.12 fixed."/>
    <s v="4A"/>
    <x v="2"/>
    <s v="006Rg00000aPmZaIAK"/>
    <x v="0"/>
  </r>
  <r>
    <n v="7"/>
    <s v="006Rg00000aPmZaIAK "/>
    <s v=" 2.12/gal "/>
    <s v=" 4C "/>
    <s v=" — "/>
    <x v="4"/>
    <x v="3"/>
    <s v=" Medium "/>
    <s v=" Customer feared year-2 rate could jump (e.g., $3.49/gal); rep explained price-cap protection; customer accepted &quot;there's some consumer protection in there&quot;."/>
    <s v="4C"/>
    <x v="1"/>
    <s v="006Rg00000aPmZaIAK"/>
    <x v="0"/>
  </r>
  <r>
    <n v="7"/>
    <s v="006Rg00000aPNBBIA4 "/>
    <s v=" 2.181 ? 2.04/gal "/>
    <s v=" 4B "/>
    <s v=" — "/>
    <x v="5"/>
    <x v="2"/>
    <s v=" Medium "/>
    <s v=" Customer uses ~250 gal/yr, below 400-gal waiver; will pay $99 rental; noted strategy to push usage over threshold; proceeded and signed."/>
    <s v="4B"/>
    <x v="3"/>
    <s v="006Rg00000aPNBBIA4"/>
    <x v="1"/>
  </r>
  <r>
    <n v="7"/>
    <s v="006Rg00000aPNBBIA4 "/>
    <s v=" 2.181 ? 2.04/gal "/>
    <s v=" 4C "/>
    <s v=" — "/>
    <x v="1"/>
    <x v="2"/>
    <s v=" Medium "/>
    <s v=" Customer asked if Superior sells tanks and about self-install path; rep said office doesn't sell tanks; customer proceeded with lease."/>
    <s v="4C"/>
    <x v="1"/>
    <s v="006Rg00000aPNBBIA4"/>
    <x v="1"/>
  </r>
  <r>
    <n v="7"/>
    <s v="006Rg00000aPqhpIAC "/>
    <s v=" — "/>
    <s v=" — "/>
    <s v=" — "/>
    <x v="0"/>
    <x v="4"/>
    <s v=" Low "/>
    <s v=" All three segments are agent voicemails; no customer engagement on record; nothing evidentiary on any offer attribute."/>
    <s v="—"/>
    <x v="0"/>
    <s v="006Rg00000aPqhpIAC"/>
    <x v="0"/>
  </r>
  <r>
    <n v="7"/>
    <s v="006Rg00000apzW9IAI "/>
    <s v=" 2.04V/2.18F/gal "/>
    <s v=" 4B "/>
    <s v=" Yes "/>
    <x v="6"/>
    <x v="5"/>
    <s v=" Medium "/>
    <s v=" Trenching fee ($165/hr over 2 hrs) undetermined without site visit; customer expressed distrust of &quot;hidden fees&quot; and deferred decision to next week pending written fee schedule."/>
    <s v="4B"/>
    <x v="3"/>
    <s v="006Rg00000apzW9IAI"/>
    <x v="0"/>
  </r>
  <r>
    <n v="7"/>
    <s v="006Rg00000aQ7AnIAK "/>
    <s v=" 2.09/gal "/>
    <s v=" 4B "/>
    <s v=" — "/>
    <x v="7"/>
    <x v="2"/>
    <s v=" Medium "/>
    <s v=" Customer uses ~300 gal/yr, below 400-gal waiver; will pay $99 annual rental on 250 tank; acknowledged and signed agreement."/>
    <s v="4B"/>
    <x v="3"/>
    <s v="006Rg00000aQ7AnIAK"/>
    <x v="1"/>
  </r>
  <r>
    <n v="7"/>
    <s v="006Rg00000aQ7AnIAK "/>
    <s v=" 2.09/gal "/>
    <s v=" 4D "/>
    <s v=" — "/>
    <x v="8"/>
    <x v="2"/>
    <s v=" Medium "/>
    <s v=" Customer, a renter, asked about 3-year agreement liability; rep clarified exceptions for landlord-forced removals; customer proceeded and signed."/>
    <s v="4D"/>
    <x v="4"/>
    <s v="006Rg00000aQ7AnIAK"/>
    <x v="1"/>
  </r>
  <r>
    <n v="7"/>
    <s v="006Rg00000aqHJfIAM "/>
    <s v=" 1.74/gal "/>
    <s v=" 4C "/>
    <s v=" Yes "/>
    <x v="3"/>
    <x v="1"/>
    <s v=" High "/>
    <s v=" Customer wanted a pre-commitment site assessment; Superior requires account creation (shell account still needs signed T&amp;C); customer chose competitor offering assessment first."/>
    <s v="4C"/>
    <x v="1"/>
    <s v="006Rg00000aqHJfIAM"/>
    <x v="0"/>
  </r>
  <r>
    <n v="7"/>
    <s v="006Rg00000aQKsnIAG "/>
    <s v=" 2.28/gal "/>
    <s v=" 4D "/>
    <s v=" Yes "/>
    <x v="3"/>
    <x v="5"/>
    <s v=" High "/>
    <s v=" Customer has no home internet; Superior only accepts DocuSign, no paper contracts; caused multiple callbacks and a threatened walk before customer signed via friend's computer."/>
    <s v="4D"/>
    <x v="4"/>
    <s v="006Rg00000aQKsnIAG"/>
    <x v="1"/>
  </r>
  <r>
    <n v="8"/>
    <s v="006Rg00000aqUuvIAE "/>
    <s v=" 1.85/gal "/>
    <s v=" — "/>
    <s v=" — "/>
    <x v="0"/>
    <x v="0"/>
    <s v=" — "/>
    <s v=" —"/>
    <s v="—"/>
    <x v="0"/>
    <s v="006Rg00000aqUuvIAE"/>
    <x v="0"/>
  </r>
  <r>
    <n v="8"/>
    <s v="006Rg00000aRcGIIA0 "/>
    <s v=" 1.79/gal "/>
    <s v=" — "/>
    <s v=" — "/>
    <x v="0"/>
    <x v="0"/>
    <s v=" — "/>
    <s v=" —"/>
    <s v="—"/>
    <x v="0"/>
    <s v="006Rg00000aRcGIIA0"/>
    <x v="1"/>
  </r>
  <r>
    <n v="8"/>
    <s v="006Rg00000aRqp1IAC "/>
    <s v=" 1.82/gal "/>
    <s v=" 4D "/>
    <s v=" Yes "/>
    <x v="9"/>
    <x v="5"/>
    <s v=" Medium "/>
    <s v=" Attorney customer refused signing 3-year contract before site visit; escalation to management produced separate email confirming contract voids without penalty if no tank installed."/>
    <s v="4D"/>
    <x v="4"/>
    <s v="006Rg00000aRqp1IAC"/>
    <x v="1"/>
  </r>
  <r>
    <n v="8"/>
    <s v="006Rg00000aRv8jIAC "/>
    <s v=" 1.86/gal "/>
    <s v=" — "/>
    <s v=" — "/>
    <x v="0"/>
    <x v="0"/>
    <s v=" — "/>
    <s v=" —"/>
    <s v="—"/>
    <x v="0"/>
    <s v="006Rg00000aRv8jIAC"/>
    <x v="1"/>
  </r>
  <r>
    <n v="8"/>
    <s v="006Rg00000aS8VpIAK "/>
    <s v=" — "/>
    <s v=" 4B "/>
    <s v=" — "/>
    <x v="10"/>
    <x v="2"/>
    <s v=" Medium "/>
    <s v=" Customer surprised transportation fee not built into propane price; agent explained $14.95 auto-delivery fee replaced prior $21.58 recovery; customer accepted and proceeded."/>
    <s v="4B"/>
    <x v="3"/>
    <s v="006Rg00000aS8VpIAK"/>
    <x v="1"/>
  </r>
  <r>
    <n v="8"/>
    <s v="006Rg00000aS8VpIAK "/>
    <s v=" — "/>
    <s v=" 4D "/>
    <s v=" — "/>
    <x v="9"/>
    <x v="2"/>
    <s v=" Medium "/>
    <s v=" 25-year customer voiced frustration at required e-signing (&quot;why you don't trust me to do this&quot;); struggled with DocuSign on phone but completed signing without concession."/>
    <s v="4D"/>
    <x v="4"/>
    <s v="006Rg00000aS8VpIAK"/>
    <x v="1"/>
  </r>
  <r>
    <n v="8"/>
    <s v="006Rg00000aSCkhIAG "/>
    <s v=" — "/>
    <s v=" — "/>
    <s v=" — "/>
    <x v="0"/>
    <x v="0"/>
    <s v=" — "/>
    <s v=" —"/>
    <s v="—"/>
    <x v="0"/>
    <s v="006Rg00000aSCkhIAG"/>
    <x v="0"/>
  </r>
  <r>
    <n v="8"/>
    <s v="006Rg00000aSE9lIAG "/>
    <s v=" 2.[MASKED]/gal "/>
    <s v=" — "/>
    <s v=" — "/>
    <x v="0"/>
    <x v="0"/>
    <s v=" — "/>
    <s v=" —"/>
    <s v="—"/>
    <x v="0"/>
    <s v="006Rg00000aSE9lIAG"/>
    <x v="0"/>
  </r>
  <r>
    <n v="8"/>
    <s v="006Rg00000aSenQIAS "/>
    <s v=" — "/>
    <s v=" — "/>
    <s v=" — "/>
    <x v="0"/>
    <x v="0"/>
    <s v=" — "/>
    <s v=" —"/>
    <s v="—"/>
    <x v="0"/>
    <s v="006Rg00000aSenQIAS"/>
    <x v="1"/>
  </r>
  <r>
    <n v="8"/>
    <s v="006Rg00000aSgxHIAS "/>
    <s v=" 1.65/gal "/>
    <s v=" 4B "/>
    <s v=" Yes "/>
    <x v="6"/>
    <x v="5"/>
    <s v=" Medium "/>
    <s v=" Customer accepted rate/delivery but pushed back on install fee; rep pivoted to credit-check promo pathway waiving install and tank rental plus $250 credit to preserve deal."/>
    <s v="4B"/>
    <x v="3"/>
    <s v="006Rg00000aSgxHIAS"/>
    <x v="0"/>
  </r>
  <r>
    <n v="8"/>
    <s v="006Rg00000aSgxHIAS "/>
    <s v=" 1.65/gal "/>
    <s v=" 4B "/>
    <s v=" — "/>
    <x v="11"/>
    <x v="3"/>
    <s v=" Medium "/>
    <s v=" Customer worried usage may not hit 100gal minimum given seasonal 6-month use; rep confirmed minimum-use charge is zero, correcting the premise; customer proceeded to spousal decision."/>
    <s v="4B"/>
    <x v="3"/>
    <s v="006Rg00000aSgxHIAS"/>
    <x v="0"/>
  </r>
  <r>
    <n v="8"/>
    <s v="006Rg00000aSHsQIAW "/>
    <s v=" 1.87/gal "/>
    <s v=" — "/>
    <s v=" — "/>
    <x v="0"/>
    <x v="0"/>
    <s v=" — "/>
    <s v=" —"/>
    <s v="—"/>
    <x v="0"/>
    <s v="006Rg00000aSHsQIAW"/>
    <x v="0"/>
  </r>
  <r>
    <n v="8"/>
    <s v="006Rg00000aSRwbIAG "/>
    <s v=" 2.26V/2.40F/gal "/>
    <s v=" 4B "/>
    <s v=" — "/>
    <x v="11"/>
    <x v="3"/>
    <s v=" Medium "/>
    <s v=" Customer worried about not consuming 100gal over seasonal 6-month use; rep confirmed minimum-use charges set to zero on first bill onward, correcting premise; customer signed contract."/>
    <s v="4B"/>
    <x v="3"/>
    <s v="006Rg00000aSRwbIAG"/>
    <x v="1"/>
  </r>
  <r>
    <n v="8"/>
    <s v="006Rg00000aTAdbIAG "/>
    <s v=" 2.40/gal "/>
    <s v=" — "/>
    <s v=" — "/>
    <x v="0"/>
    <x v="0"/>
    <s v=" — "/>
    <s v=" —"/>
    <s v="—"/>
    <x v="0"/>
    <s v="006Rg00000aTAdbIAG"/>
    <x v="1"/>
  </r>
  <r>
    <n v="8"/>
    <s v="006Rg00000aTQtdIAG "/>
    <s v=" 1.70/gal "/>
    <s v=" — "/>
    <s v=" — "/>
    <x v="0"/>
    <x v="0"/>
    <s v=" — "/>
    <s v=" —"/>
    <s v="—"/>
    <x v="0"/>
    <s v="006Rg00000aTQtdIAG"/>
    <x v="1"/>
  </r>
  <r>
    <n v="8"/>
    <s v="006Rg00000aufdFIAQ "/>
    <s v=" — "/>
    <s v=" — "/>
    <s v=" — "/>
    <x v="0"/>
    <x v="0"/>
    <s v=" — "/>
    <s v=" —"/>
    <s v="—"/>
    <x v="0"/>
    <s v="006Rg00000aufdFIAQ"/>
    <x v="0"/>
  </r>
  <r>
    <n v="8"/>
    <s v="006Rg00000aug1SIAQ "/>
    <s v=" 2.19/gal "/>
    <s v=" — "/>
    <s v=" — "/>
    <x v="0"/>
    <x v="0"/>
    <s v=" — "/>
    <s v=" —"/>
    <s v="—"/>
    <x v="0"/>
    <s v="006Rg00000aug1SIAQ"/>
    <x v="0"/>
  </r>
  <r>
    <n v="8"/>
    <s v="006Rg00000auiZVIAY "/>
    <s v=" 2.47V/2.61F/gal "/>
    <s v=" 4F "/>
    <s v=" — "/>
    <x v="12"/>
    <x v="2"/>
    <s v=" Medium "/>
    <s v=" Customer asked about $250+$250 promo he saw online; rep said doesn't apply because it's for customers using 400+ gal/year; customer said &quot;got it, big homes and stuff&quot; and continued."/>
    <s v="4F"/>
    <x v="5"/>
    <s v="006Rg00000auiZVIAY"/>
    <x v="0"/>
  </r>
  <r>
    <n v="8"/>
    <s v="006Rg00000aUuknIAC "/>
    <s v=" 1.99/gal "/>
    <s v=" — "/>
    <s v=" — "/>
    <x v="0"/>
    <x v="0"/>
    <s v=" — "/>
    <s v=" —"/>
    <s v="—"/>
    <x v="0"/>
    <s v="006Rg00000aUuknIAC"/>
    <x v="0"/>
  </r>
  <r>
    <n v="8"/>
    <s v="006Rg00000auz5lIAA "/>
    <s v=" 1.59/gal "/>
    <s v=" 4E "/>
    <s v=" — "/>
    <x v="13"/>
    <x v="3"/>
    <s v=" Medium "/>
    <s v=" Customer expected Superior would swap their 100-lb Suburban cylinders; rep corrected — Superior only installs 120-gal-and-above tanks, not cylinders; customer accepted 120-gal tank alternative and signed contract."/>
    <s v="4E"/>
    <x v="6"/>
    <s v="006Rg00000auz5lIAA"/>
    <x v="1"/>
  </r>
  <r>
    <n v="8"/>
    <s v="006Rg00000av7b7IAA "/>
    <s v=" 2.12/gal "/>
    <s v=" — "/>
    <s v=" — "/>
    <x v="0"/>
    <x v="0"/>
    <s v=" — "/>
    <s v=" —"/>
    <s v="—"/>
    <x v="0"/>
    <s v="006Rg00000av7b7IAA"/>
    <x v="0"/>
  </r>
  <r>
    <n v="9"/>
    <s v="006Rg00000aV8cTIAS "/>
    <s v=" 1.79/gal "/>
    <s v=" 4D "/>
    <s v=" — "/>
    <x v="9"/>
    <x v="2"/>
    <s v=" Medium "/>
    <s v=" Rep gated appointment confirmation on signed agreement (&quot;I cannot confirm any appointments until that is received&quot;); customer pushed back but ultimately signed and proceeded."/>
    <s v="4D"/>
    <x v="4"/>
    <s v="006Rg00000aV8cTIAS"/>
    <x v="1"/>
  </r>
  <r>
    <n v="9"/>
    <s v="006Rg00000av534IAA "/>
    <s v=" 1.77/gal "/>
    <s v=" 4C "/>
    <s v=" — "/>
    <x v="8"/>
    <x v="2"/>
    <s v=" Medium "/>
    <s v=" Customer said &quot;I can't guarantee we're gonna be there for three years&quot;; rep confirmed 3-year minimum with no shorter option; customer accepted and signed."/>
    <s v="4C"/>
    <x v="1"/>
    <s v="006Rg00000av534IAA"/>
    <x v="1"/>
  </r>
  <r>
    <n v="9"/>
    <s v="006Rg00000aVDHCIA4 "/>
    <s v=" 2.29/gal "/>
    <s v=" — "/>
    <s v=" — "/>
    <x v="0"/>
    <x v="0"/>
    <s v=" — "/>
    <s v=" —"/>
    <s v="—"/>
    <x v="0"/>
    <s v="006Rg00000aVDHCIA4"/>
    <x v="0"/>
  </r>
  <r>
    <n v="9"/>
    <s v="006Rg00000avGw9IAE "/>
    <s v=" — "/>
    <s v=" 4B "/>
    <s v=" Yes "/>
    <x v="6"/>
    <x v="1"/>
    <s v=" High "/>
    <s v=" Customer told $[MASKED] standard install fee reacted &quot;I think that's a lot of money just for installation&quot; and ended the call to shop elsewhere."/>
    <s v="4B"/>
    <x v="3"/>
    <s v="006Rg00000avGw9IAE"/>
    <x v="0"/>
  </r>
  <r>
    <n v="9"/>
    <s v="006Rg00000aVJhZIAW "/>
    <s v=" 2.08/1.749/gal "/>
    <s v=" 4C "/>
    <s v=" — "/>
    <x v="4"/>
    <x v="2"/>
    <s v=" Medium "/>
    <s v=" Customer said &quot;it's weird that it's different prices... I just assume it'd be a straight price because we own the tanks&quot;; accepted explanation but plans to shop further."/>
    <s v="4C"/>
    <x v="1"/>
    <s v="006Rg00000aVJhZIAW"/>
    <x v="0"/>
  </r>
  <r>
    <n v="9"/>
    <s v="006Rg00000aVKnKIAW "/>
    <s v=" — "/>
    <s v=" — "/>
    <s v=" — "/>
    <x v="0"/>
    <x v="0"/>
    <s v=" — "/>
    <s v=" —"/>
    <s v="—"/>
    <x v="0"/>
    <s v="006Rg00000aVKnKIAW"/>
    <x v="0"/>
  </r>
  <r>
    <n v="9"/>
    <s v="006Rg00000avlwjIAA "/>
    <s v=" 1.91/gal "/>
    <s v=" — "/>
    <s v=" — "/>
    <x v="0"/>
    <x v="0"/>
    <s v=" — "/>
    <s v=" —"/>
    <s v="—"/>
    <x v="0"/>
    <s v="006Rg00000avlwjIAA"/>
    <x v="1"/>
  </r>
  <r>
    <n v="9"/>
    <s v="006Rg00000avQlpIAE "/>
    <s v=" — "/>
    <s v=" 4B "/>
    <s v=" — "/>
    <x v="11"/>
    <x v="2"/>
    <s v=" Medium "/>
    <s v=" Rep disclosed $120/year MUC for cook-stove-only seasonal use; customer replied &quot;Ok that's ok&quot; and continued to have son call back."/>
    <s v="4B"/>
    <x v="3"/>
    <s v="006Rg00000avQlpIAE"/>
    <x v="0"/>
  </r>
  <r>
    <n v="9"/>
    <s v="006Rg00000aVQvxIAG "/>
    <s v=" — "/>
    <s v=" — "/>
    <s v=" — "/>
    <x v="0"/>
    <x v="0"/>
    <s v=" — "/>
    <s v=" —"/>
    <s v="—"/>
    <x v="0"/>
    <s v="006Rg00000aVQvxIAG"/>
    <x v="0"/>
  </r>
  <r>
    <n v="9"/>
    <s v="006Rg00000avrquIAA "/>
    <s v=" 1.86/gal "/>
    <s v=" — "/>
    <s v=" — "/>
    <x v="0"/>
    <x v="0"/>
    <s v=" — "/>
    <s v=" —"/>
    <s v="—"/>
    <x v="0"/>
    <s v="006Rg00000avrquIAA"/>
    <x v="1"/>
  </r>
  <r>
    <n v="9"/>
    <s v="006Rg00000avt7uIAA "/>
    <s v=" 2.12/1.71/gal "/>
    <s v=" 4B "/>
    <s v=" — "/>
    <x v="7"/>
    <x v="2"/>
    <s v=" Medium "/>
    <s v=" Customer reacted &quot;Oh wow&quot; to $40/month generator tank rental but accepted, signed contract, and proceeded to site visit scheduling."/>
    <s v="4B"/>
    <x v="3"/>
    <s v="006Rg00000avt7uIAA"/>
    <x v="1"/>
  </r>
  <r>
    <n v="9"/>
    <s v="006Rg00000avt7uIAA "/>
    <s v=" 2.12/1.71/gal "/>
    <s v=" 4D "/>
    <s v=" — "/>
    <x v="9"/>
    <x v="3"/>
    <s v=" Medium "/>
    <s v=" Customer challenged signing before site visit (&quot;almost like a done deal&quot;); rep clarified contract only valid post-install; customer accepted and signed."/>
    <s v="4D"/>
    <x v="4"/>
    <s v="006Rg00000avt7uIAA"/>
    <x v="1"/>
  </r>
  <r>
    <n v="9"/>
    <s v="006Rg00000avTetIAE "/>
    <s v=" — "/>
    <s v=" 4B "/>
    <s v=" — "/>
    <x v="14"/>
    <x v="6"/>
    <s v=" Medium "/>
    <s v=" Voicemail states customer must excavate incumbent's underground tank and purchase Superior underground tank at ~$5,900 to switch; customer response not captured."/>
    <s v="4B"/>
    <x v="3"/>
    <s v="006Rg00000avTetIAE"/>
    <x v="0"/>
  </r>
  <r>
    <n v="9"/>
    <s v="006Rg00000avzYHIAY "/>
    <s v=" — "/>
    <s v=" — "/>
    <s v=" — "/>
    <x v="0"/>
    <x v="0"/>
    <s v=" — "/>
    <s v=" —"/>
    <s v="—"/>
    <x v="0"/>
    <s v="006Rg00000avzYHIAY"/>
    <x v="1"/>
  </r>
  <r>
    <n v="9"/>
    <s v="006Rg00000aW2TOIA0 "/>
    <s v=" — "/>
    <s v=" — "/>
    <s v=" — "/>
    <x v="0"/>
    <x v="0"/>
    <s v=" — "/>
    <s v=" —"/>
    <s v="—"/>
    <x v="0"/>
    <s v="006Rg00000aW2TOIA0"/>
    <x v="0"/>
  </r>
  <r>
    <n v="10"/>
    <s v="006Rg00000aW6aDIAS "/>
    <s v=" 1.78/gal "/>
    <s v=" — "/>
    <s v=" — "/>
    <x v="0"/>
    <x v="0"/>
    <s v=" — "/>
    <s v=" —"/>
    <s v="—"/>
    <x v="0"/>
    <s v="006Rg00000aW6aDIAS"/>
    <x v="1"/>
  </r>
  <r>
    <n v="10"/>
    <s v="006Rg00000aWCirIAG "/>
    <s v=" 2.00 ? 1.78/gal "/>
    <s v=" 4A "/>
    <s v=" Yes "/>
    <x v="2"/>
    <x v="1"/>
    <s v=" High "/>
    <s v=" Customer stayed with Glider after they &quot;came down on their price&quot; — current supplier's reduction defeated switch; deal died."/>
    <s v="4A"/>
    <x v="2"/>
    <s v="006Rg00000aWCirIAG"/>
    <x v="0"/>
  </r>
  <r>
    <n v="10"/>
    <s v="006Rg00000aWCirIAG "/>
    <s v=" 2.00 ? 1.78/gal "/>
    <s v=" 4C "/>
    <s v=" — "/>
    <x v="15"/>
    <x v="2"/>
    <s v=" Medium "/>
    <s v=" Customer asked about prebuy (&quot;used to is a pre-buy, you don't have that&quot;); rep confirmed no prebuy; customer absorbed and moved on to fixed discussion."/>
    <s v="4C"/>
    <x v="1"/>
    <s v="006Rg00000aWCirIAG"/>
    <x v="0"/>
  </r>
  <r>
    <n v="10"/>
    <s v="006Rg00000aXaxeIAC "/>
    <s v=" 1.92/gal "/>
    <s v=" — "/>
    <s v=" — "/>
    <x v="0"/>
    <x v="0"/>
    <s v=" — "/>
    <s v=" —"/>
    <s v="—"/>
    <x v="0"/>
    <s v="006Rg00000aXaxeIAC"/>
    <x v="0"/>
  </r>
  <r>
    <n v="10"/>
    <s v="006Rg00000axfGxIAI "/>
    <s v=" 2.18 ? 2.13/gal "/>
    <s v=" — "/>
    <s v=" — "/>
    <x v="0"/>
    <x v="0"/>
    <s v=" — "/>
    <s v=" —"/>
    <s v="—"/>
    <x v="0"/>
    <s v="006Rg00000axfGxIAI"/>
    <x v="1"/>
  </r>
  <r>
    <n v="10"/>
    <s v="006Rg00000aXlbMIAS "/>
    <s v=" — "/>
    <s v=" — "/>
    <s v=" — "/>
    <x v="0"/>
    <x v="0"/>
    <s v=" — "/>
    <s v=" —"/>
    <s v="—"/>
    <x v="0"/>
    <s v="006Rg00000aXlbMIAS"/>
    <x v="1"/>
  </r>
  <r>
    <n v="10"/>
    <s v="006Rg00000axq7VIAQ "/>
    <s v=" 1.65V/1.79F/gal "/>
    <s v=" — "/>
    <s v=" — "/>
    <x v="0"/>
    <x v="0"/>
    <s v=" — "/>
    <s v=" —"/>
    <s v="—"/>
    <x v="0"/>
    <s v="006Rg00000axq7VIAQ"/>
    <x v="0"/>
  </r>
  <r>
    <n v="10"/>
    <s v="006Rg00000axr0OIAQ "/>
    <s v=" 2.56/gal "/>
    <s v=" — "/>
    <s v=" — "/>
    <x v="0"/>
    <x v="0"/>
    <s v=" — "/>
    <s v=" —"/>
    <s v="—"/>
    <x v="0"/>
    <s v="006Rg00000axr0OIAQ"/>
    <x v="0"/>
  </r>
  <r>
    <n v="10"/>
    <s v="006Rg00000aXUXHIA4 "/>
    <s v=" 1.62/gal "/>
    <s v=" — "/>
    <s v=" — "/>
    <x v="0"/>
    <x v="0"/>
    <s v=" — "/>
    <s v=" —"/>
    <s v="—"/>
    <x v="0"/>
    <s v="006Rg00000aXUXHIA4"/>
    <x v="1"/>
  </r>
  <r>
    <n v="10"/>
    <s v="006Rg00000axW7CIAU "/>
    <s v=" — "/>
    <s v=" — "/>
    <s v=" — "/>
    <x v="0"/>
    <x v="0"/>
    <s v=" — "/>
    <s v=" —"/>
    <s v="—"/>
    <x v="0"/>
    <s v="006Rg00000axW7CIAU"/>
    <x v="0"/>
  </r>
  <r>
    <n v="10"/>
    <s v="006Rg00000axWVPIA2 "/>
    <s v=" — "/>
    <s v=" 4D "/>
    <s v=" Yes "/>
    <x v="9"/>
    <x v="5"/>
    <s v=" Medium "/>
    <s v=" Required re-signing 3-yr agreement to update address for existing customer; customer voiced &quot;not gonna be here for three years&quot; and &quot;Time whatever this is ridiculous&quot;; unsigned at followup voicemail 3 days later."/>
    <s v="4D"/>
    <x v="4"/>
    <s v="006Rg00000axWVPIA2"/>
    <x v="1"/>
  </r>
  <r>
    <n v="10"/>
    <s v="006Rg00000ay1HRIAY "/>
    <s v=" 2.799/gal "/>
    <s v=" — "/>
    <s v=" — "/>
    <x v="0"/>
    <x v="0"/>
    <s v=" — "/>
    <s v=" —"/>
    <s v="—"/>
    <x v="0"/>
    <s v="006Rg00000ay1HRIAY"/>
    <x v="1"/>
  </r>
  <r>
    <n v="10"/>
    <s v="006Rg00000ay9GbIAI "/>
    <s v=" 2.64/gal "/>
    <s v=" 4E "/>
    <s v=" — "/>
    <x v="16"/>
    <x v="2"/>
    <s v=" Medium "/>
    <s v=" Customer said she has no propane and it will &quot;take me more than four days&quot;; rep quoted 1-2 week install with urgency note; customer proceeded to credit check and agreement."/>
    <s v="4E"/>
    <x v="6"/>
    <s v="006Rg00000ay9GbIAI"/>
    <x v="1"/>
  </r>
  <r>
    <n v="10"/>
    <s v="006Rg00000ay926IAA "/>
    <s v=" 1.91/gal "/>
    <s v=" — "/>
    <s v=" — "/>
    <x v="0"/>
    <x v="0"/>
    <s v=" — "/>
    <s v=" —"/>
    <s v="—"/>
    <x v="0"/>
    <s v="006Rg00000ay926IAA"/>
    <x v="1"/>
  </r>
  <r>
    <n v="10"/>
    <s v="006Rg00000aYALBIA4 "/>
    <s v=" — "/>
    <s v=" — "/>
    <s v=" — "/>
    <x v="0"/>
    <x v="0"/>
    <s v=" — "/>
    <s v=" —"/>
    <s v="—"/>
    <x v="0"/>
    <s v="006Rg00000aYALBIA4"/>
    <x v="0"/>
  </r>
  <r>
    <n v="11"/>
    <s v="006Rg00000ayLrFIAU "/>
    <s v=" 1.56/gal "/>
    <s v=" — "/>
    <s v=" — "/>
    <x v="0"/>
    <x v="0"/>
    <s v=" — "/>
    <s v=" —"/>
    <s v="—"/>
    <x v="0"/>
    <s v="006Rg00000ayLrFIAU"/>
    <x v="1"/>
  </r>
  <r>
    <n v="11"/>
    <s v="006Rg00000ayrRJIAY "/>
    <s v=" 1.81/gal "/>
    <s v=" 4A "/>
    <s v=" — "/>
    <x v="3"/>
    <x v="3"/>
    <s v=" Medium "/>
    <s v=" Customer pushed back citing neighbor allegedly paid $1/gal or $60/fill; agent verified neighbor has 60-gal tank not lower rate; customer proceeded at standard rate, no concession."/>
    <s v="4A"/>
    <x v="2"/>
    <s v="006Rg00000ayrRJIAY"/>
    <x v="1"/>
  </r>
  <r>
    <n v="11"/>
    <s v="006Rg00000aYUAEIA4 "/>
    <s v=" 2.56 ? 2.51/gal "/>
    <s v=" — "/>
    <s v=" — "/>
    <x v="0"/>
    <x v="0"/>
    <s v=" — "/>
    <s v=" —"/>
    <s v="—"/>
    <x v="0"/>
    <s v="006Rg00000aYUAEIA4"/>
    <x v="1"/>
  </r>
  <r>
    <n v="11"/>
    <s v="006Rg00000ayuH7IAI "/>
    <s v=" 1.90/gal "/>
    <s v=" — "/>
    <s v=" — "/>
    <x v="0"/>
    <x v="0"/>
    <s v=" — "/>
    <s v=" —"/>
    <s v="—"/>
    <x v="0"/>
    <s v="006Rg00000ayuH7IAI"/>
    <x v="1"/>
  </r>
  <r>
    <n v="11"/>
    <s v="006Rg00000aYUJtIAO "/>
    <s v=" 3.34/gal "/>
    <s v=" — "/>
    <s v=" — "/>
    <x v="0"/>
    <x v="0"/>
    <s v=" — "/>
    <s v=" —"/>
    <s v="—"/>
    <x v="0"/>
    <s v="006Rg00000aYUJtIAO"/>
    <x v="0"/>
  </r>
  <r>
    <n v="11"/>
    <s v="006Rg00000aYVr4IAG "/>
    <s v=" 1.86/gal "/>
    <s v=" — "/>
    <s v=" — "/>
    <x v="0"/>
    <x v="0"/>
    <s v=" — "/>
    <s v=" —"/>
    <s v="—"/>
    <x v="0"/>
    <s v="006Rg00000aYVr4IAG"/>
    <x v="1"/>
  </r>
  <r>
    <n v="11"/>
    <s v="006Rg00000ayxbaIAA "/>
    <s v=" 1.94/gal "/>
    <s v=" — "/>
    <s v=" — "/>
    <x v="0"/>
    <x v="0"/>
    <s v=" — "/>
    <s v=" —"/>
    <s v="—"/>
    <x v="0"/>
    <s v="006Rg00000ayxbaIAA"/>
    <x v="0"/>
  </r>
  <r>
    <n v="11"/>
    <s v="006Rg00000ayysbIAA "/>
    <s v=" — "/>
    <s v=" — "/>
    <s v=" — "/>
    <x v="0"/>
    <x v="0"/>
    <s v=" — "/>
    <s v=" —"/>
    <s v="—"/>
    <x v="0"/>
    <s v="006Rg00000ayysbIAA"/>
    <x v="0"/>
  </r>
  <r>
    <n v="11"/>
    <s v="006Rg00000azC2kIAE "/>
    <s v=" — "/>
    <s v=" — "/>
    <s v=" — "/>
    <x v="0"/>
    <x v="0"/>
    <s v=" — "/>
    <s v=" —"/>
    <s v="—"/>
    <x v="0"/>
    <s v="006Rg00000azC2kIAE"/>
    <x v="0"/>
  </r>
  <r>
    <n v="11"/>
    <s v="006Rg00000azIhdIAE "/>
    <s v=" 2.54/gal "/>
    <s v=" 4E "/>
    <s v=" Yes "/>
    <x v="16"/>
    <x v="1"/>
    <s v=" High "/>
    <s v=" Customer needed install by weekend arrival; agent quoted two-week lead time; customer said &quot;that's not gonna work&quot; and declined."/>
    <s v="4E"/>
    <x v="6"/>
    <s v="006Rg00000azIhdIAE"/>
    <x v="0"/>
  </r>
  <r>
    <n v="11"/>
    <s v="006Rg00000azIhdIAE "/>
    <s v=" 2.54/gal "/>
    <s v=" 4E "/>
    <s v=" — "/>
    <x v="13"/>
    <x v="2"/>
    <s v=" Medium "/>
    <s v=" Customer asked for 50-lb tank; agent said 120-gal minimum offered; customer accepted and continued discussion without demanding the smaller size."/>
    <s v="4E"/>
    <x v="6"/>
    <s v="006Rg00000azIhdIAE"/>
    <x v="0"/>
  </r>
  <r>
    <n v="11"/>
    <s v="006Rg00000b0pjaIAA "/>
    <s v=" 2.347/gal "/>
    <s v=" — "/>
    <s v=" — "/>
    <x v="0"/>
    <x v="0"/>
    <s v=" — "/>
    <s v=" —"/>
    <s v="—"/>
    <x v="0"/>
    <s v="006Rg00000b0pjaIAA"/>
    <x v="0"/>
  </r>
  <r>
    <n v="11"/>
    <s v="006Rg00000b0xPPIAY "/>
    <s v=" 2.33/gal "/>
    <s v=" 4A "/>
    <s v=" Yes "/>
    <x v="2"/>
    <x v="1"/>
    <s v=" High "/>
    <s v=" Customer stated Superior's $2.33 rate exceeds current supplier's; said &quot;not sure if we will make the switch&quot; and ended call without commitment."/>
    <s v="4A"/>
    <x v="2"/>
    <s v="006Rg00000b0xPPIAY"/>
    <x v="0"/>
  </r>
  <r>
    <n v="11"/>
    <s v="006Rg00000b0yQJIAY "/>
    <s v=" 1.97/gal "/>
    <s v=" 4B "/>
    <s v=" Yes "/>
    <x v="17"/>
    <x v="5"/>
    <s v=" Medium "/>
    <s v=" Customer projected ~75 gal/year usage triggering ~$190 year-2 MUC + rental, computed effective rate near $3.92/gal; deal stalled pending spouse review, not signed."/>
    <s v="4B"/>
    <x v="3"/>
    <s v="006Rg00000b0yQJIAY"/>
    <x v="1"/>
  </r>
  <r>
    <n v="12"/>
    <s v="006Rg00000b1D2mIAE "/>
    <s v=" 1.79/gal "/>
    <s v=" — "/>
    <s v=" — "/>
    <x v="0"/>
    <x v="0"/>
    <s v=" — "/>
    <s v=" —"/>
    <s v="—"/>
    <x v="0"/>
    <s v="006Rg00000b1D2mIAE"/>
    <x v="0"/>
  </r>
  <r>
    <n v="12"/>
    <s v="006Rg00000b1EtFIAU "/>
    <s v=" 1.83/gal "/>
    <s v=" — "/>
    <s v=" — "/>
    <x v="0"/>
    <x v="0"/>
    <s v=" — "/>
    <s v=" —"/>
    <s v="—"/>
    <x v="0"/>
    <s v="006Rg00000b1EtFIAU"/>
    <x v="0"/>
  </r>
  <r>
    <n v="12"/>
    <s v="006Rg00000b1KYsIAM "/>
    <s v=" — "/>
    <s v=" — "/>
    <s v=" — "/>
    <x v="0"/>
    <x v="0"/>
    <s v=" — "/>
    <s v=" —"/>
    <s v="—"/>
    <x v="0"/>
    <s v="006Rg00000b1KYsIAM"/>
    <x v="0"/>
  </r>
  <r>
    <n v="12"/>
    <s v="006Rg00000b1lcIIAQ "/>
    <s v=" — "/>
    <s v=" — "/>
    <s v=" — "/>
    <x v="0"/>
    <x v="0"/>
    <s v=" — "/>
    <s v=" —"/>
    <s v="—"/>
    <x v="0"/>
    <s v="006Rg00000b1lcIIAQ"/>
    <x v="0"/>
  </r>
  <r>
    <n v="12"/>
    <s v="006Rg00000b1VcMIAU "/>
    <s v=" 3.92/gal "/>
    <s v=" — "/>
    <s v=" — "/>
    <x v="0"/>
    <x v="0"/>
    <s v=" — "/>
    <s v=" —"/>
    <s v="—"/>
    <x v="0"/>
    <s v="006Rg00000b1VcMIAU"/>
    <x v="1"/>
  </r>
  <r>
    <n v="12"/>
    <s v="006Rg00000b3loJIAQ "/>
    <s v=" 2.25/gal "/>
    <s v=" — "/>
    <s v=" — "/>
    <x v="0"/>
    <x v="0"/>
    <s v=" — "/>
    <s v=" —"/>
    <s v="—"/>
    <x v="0"/>
    <s v="006Rg00000b3loJIAQ"/>
    <x v="1"/>
  </r>
  <r>
    <n v="12"/>
    <s v="006Rg00000b3oRCIAY "/>
    <s v=" 1.99/gal "/>
    <s v=" — "/>
    <s v=" — "/>
    <x v="0"/>
    <x v="0"/>
    <s v=" — "/>
    <s v=" —"/>
    <s v="—"/>
    <x v="0"/>
    <s v="006Rg00000b3oRCIAY"/>
    <x v="0"/>
  </r>
  <r>
    <n v="12"/>
    <s v="006Rg00000b3qWGIAY "/>
    <s v=" — "/>
    <s v=" — "/>
    <s v=" — "/>
    <x v="0"/>
    <x v="0"/>
    <s v=" — "/>
    <s v=" —"/>
    <s v="—"/>
    <x v="0"/>
    <s v="006Rg00000b3qWGIAY"/>
    <x v="0"/>
  </r>
  <r>
    <n v="12"/>
    <s v="006Rg00000b3RmMIAU "/>
    <s v=" 2.42V/2.57F/gal "/>
    <s v=" — "/>
    <s v=" — "/>
    <x v="0"/>
    <x v="0"/>
    <s v=" — "/>
    <s v=" —"/>
    <s v="—"/>
    <x v="0"/>
    <s v="006Rg00000b3RmMIAU"/>
    <x v="1"/>
  </r>
  <r>
    <n v="12"/>
    <s v="006Rg00000b3VgJIAU "/>
    <s v=" 1.99/gal "/>
    <s v=" — "/>
    <s v=" — "/>
    <x v="0"/>
    <x v="0"/>
    <s v=" — "/>
    <s v=" —"/>
    <s v="—"/>
    <x v="0"/>
    <s v="006Rg00000b3VgJIAU"/>
    <x v="1"/>
  </r>
  <r>
    <n v="12"/>
    <s v="006Rg00000b3w8bIAA "/>
    <s v=" — "/>
    <s v=" — "/>
    <s v=" — "/>
    <x v="0"/>
    <x v="0"/>
    <s v=" — "/>
    <s v=" —"/>
    <s v="—"/>
    <x v="0"/>
    <s v="006Rg00000b3w8bIAA"/>
    <x v="1"/>
  </r>
  <r>
    <n v="12"/>
    <s v="006Rg00000b3XIJIA2 "/>
    <s v=" 1.89/gal "/>
    <s v=" — "/>
    <s v=" — "/>
    <x v="0"/>
    <x v="0"/>
    <s v=" — "/>
    <s v=" —"/>
    <s v="—"/>
    <x v="0"/>
    <s v="006Rg00000b3XIJIA2"/>
    <x v="0"/>
  </r>
  <r>
    <n v="12"/>
    <s v="006Rg00000b4kerIAA "/>
    <s v=" — "/>
    <s v=" — "/>
    <s v=" — "/>
    <x v="0"/>
    <x v="0"/>
    <s v=" — "/>
    <s v=" —"/>
    <s v="—"/>
    <x v="0"/>
    <s v="006Rg00000b4kerIAA"/>
    <x v="0"/>
  </r>
  <r>
    <n v="12"/>
    <s v="006Rg00000b4TsXIAU "/>
    <s v=" — "/>
    <s v=" — "/>
    <s v=" — "/>
    <x v="0"/>
    <x v="0"/>
    <s v=" — "/>
    <s v=" —"/>
    <s v="—"/>
    <x v="0"/>
    <s v="006Rg00000b4TsXIAU"/>
    <x v="1"/>
  </r>
  <r>
    <n v="12"/>
    <s v="006Rg00000b4u37IAA "/>
    <s v=" — "/>
    <s v=" — "/>
    <s v=" — "/>
    <x v="0"/>
    <x v="0"/>
    <s v=" — "/>
    <s v=" —"/>
    <s v="—"/>
    <x v="0"/>
    <s v="006Rg00000b4u37IAA"/>
    <x v="0"/>
  </r>
  <r>
    <n v="13"/>
    <s v="006Rg00000b6BLUIA2 "/>
    <s v=" 3.[MASKED]/gal "/>
    <s v=" — "/>
    <s v=" — "/>
    <x v="0"/>
    <x v="0"/>
    <s v=" — "/>
    <s v=" Existing customer adding generator tank; signed agreement same call; no offer-attribute pushback across all three segments."/>
    <s v="—"/>
    <x v="0"/>
    <s v="006Rg00000b6BLUIA2"/>
    <x v="1"/>
  </r>
  <r>
    <n v="13"/>
    <s v="006Rg00000b6HorIAE "/>
    <s v=" 3.[MASKED]/gal "/>
    <s v=" — "/>
    <s v=" — "/>
    <x v="0"/>
    <x v="0"/>
    <s v=" — "/>
    <s v=" Duplicate of the Derek generator add-on conversation; agreement signed same call; no offer-attribute pushback."/>
    <s v="—"/>
    <x v="0"/>
    <s v="006Rg00000b6HorIAE"/>
    <x v="0"/>
  </r>
  <r>
    <n v="13"/>
    <s v="006Rg00000b6k4VIAQ "/>
    <s v=" 1.90F/1.75V "/>
    <s v=" — "/>
    <s v=" — "/>
    <x v="0"/>
    <x v="0"/>
    <s v=" — "/>
    <s v=" Vincent asked rate, heard $1.90 fixed / $1.75 variable + $500 credit promo; said &quot;I will get back to you&quot;; no specific attribute objection."/>
    <s v="—"/>
    <x v="0"/>
    <s v="006Rg00000b6k4VIAQ"/>
    <x v="0"/>
  </r>
  <r>
    <n v="13"/>
    <s v="006Rg00000b6L4TIAU "/>
    <s v=" 2.80/gal "/>
    <s v=" — "/>
    <s v=" — "/>
    <x v="0"/>
    <x v="0"/>
    <s v=" — "/>
    <s v=" Scott shopping generator setup; wants to digest numbers and discuss with wife; no attribute rejected, deal open pending callback."/>
    <s v="—"/>
    <x v="0"/>
    <s v="006Rg00000b6L4TIAU"/>
    <x v="0"/>
  </r>
  <r>
    <n v="13"/>
    <s v="006Rg00000b6o3FIAQ "/>
    <s v=" — "/>
    <s v=" — "/>
    <s v=" — "/>
    <x v="0"/>
    <x v="0"/>
    <s v=" — "/>
    <s v=" Outbound voicemail only (53s, valid no-content); no customer engagement to evaluate."/>
    <s v="—"/>
    <x v="0"/>
    <s v="006Rg00000b6o3FIAQ"/>
    <x v="0"/>
  </r>
  <r>
    <n v="13"/>
    <s v="006Rg00000b6QdgIAE "/>
    <s v=" — "/>
    <s v=" 4C "/>
    <s v=" Yes "/>
    <x v="8"/>
    <x v="1"/>
    <s v=" High "/>
    <s v=" Customer explicitly refused to sign citing &quot;not a fan of the three year thing&quot;; confirmed will not proceed."/>
    <s v="4C"/>
    <x v="1"/>
    <s v="006Rg00000b6QdgIAE"/>
    <x v="0"/>
  </r>
  <r>
    <n v="13"/>
    <s v="006Rg00000b7BB7IAM "/>
    <s v=" — "/>
    <s v=" — "/>
    <s v=" — "/>
    <x v="0"/>
    <x v="0"/>
    <s v=" — "/>
    <s v=" Inbound billing complaint about setup fee charge (&quot;was not supposed to be charged a setup fee&quot;); documentation/billing issue, out of scope for offer module."/>
    <s v="—"/>
    <x v="0"/>
    <s v="006Rg00000b7BB7IAM"/>
    <x v="1"/>
  </r>
  <r>
    <n v="13"/>
    <s v="006Rg00000b7h4XIAQ "/>
    <s v=" 1.92/gal "/>
    <s v=" — "/>
    <s v=" — "/>
    <x v="0"/>
    <x v="0"/>
    <s v=" — "/>
    <s v=" John shopping to replace leaking owned 100lb; asked about termination fee (~$500), accepted answer, signed 3-yr agreement same call; no attribute pushback."/>
    <s v="—"/>
    <x v="0"/>
    <s v="006Rg00000b7h4XIAQ"/>
    <x v="0"/>
  </r>
  <r>
    <n v="13"/>
    <s v="006Rg00000b7REHIA2 "/>
    <s v=" 2.12V/2.27F "/>
    <s v=" — "/>
    <s v=" — "/>
    <x v="0"/>
    <x v="0"/>
    <s v=" — "/>
    <s v=" Nicole comparison-shopping for mother's account; heard pricing and promo, said pricing sounds better and will discuss with mother; no specific objection."/>
    <s v="—"/>
    <x v="0"/>
    <s v="006Rg00000b7REHIA2"/>
    <x v="0"/>
  </r>
  <r>
    <n v="13"/>
    <s v="006Rg00000b7snyIAA "/>
    <s v=" — "/>
    <s v=" 4C "/>
    <s v=" Yes "/>
    <x v="8"/>
    <x v="5"/>
    <s v=" Medium "/>
    <s v=" Sandra (customer-owned tank moving RV) objected &quot;I'm not gonna be here for three years&quot;; rep said term unenforceable for customer-owned; she signed but expressed frustration."/>
    <s v="4C"/>
    <x v="1"/>
    <s v="006Rg00000b7snyIAA"/>
    <x v="0"/>
  </r>
  <r>
    <n v="13"/>
    <s v="006Rg00000b12AXIAY "/>
    <s v=" — "/>
    <s v=" — "/>
    <s v=" — "/>
    <x v="0"/>
    <x v="0"/>
    <s v=" — "/>
    <s v=" Kathy adding tank at second location; call terminated over phone-audio/language barrier before any offer attributes were discussed; rep-handling/system issue, out of scope."/>
    <s v="—"/>
    <x v="0"/>
    <s v="006Rg00000b12AXIAY"/>
    <x v="1"/>
  </r>
  <r>
    <n v="13"/>
    <s v="006Rg00000b42AoIAI "/>
    <s v=" — "/>
    <s v=" — "/>
    <s v=" — "/>
    <x v="0"/>
    <x v="0"/>
    <s v=" — "/>
    <s v=" Outbound voicemail only (56s, valid no-content); no customer engagement to evaluate."/>
    <s v="—"/>
    <x v="0"/>
    <s v="006Rg00000b42AoIAI"/>
    <x v="0"/>
  </r>
  <r>
    <n v="13"/>
    <s v="006Rg00000b46pWIAQ "/>
    <s v=" — "/>
    <s v=" — "/>
    <s v=" — "/>
    <x v="0"/>
    <x v="0"/>
    <s v=" — "/>
    <s v=" Nicole called back to lock in switching to Superior; conversation was solely a transfer to prior rep Katia; no offer attributes evaluated in these segments."/>
    <s v="—"/>
    <x v="0"/>
    <s v="006Rg00000b46pWIAQ"/>
    <x v="1"/>
  </r>
  <r>
    <n v="13"/>
    <s v="006Rg00000b47QbIAI "/>
    <s v=" 1.85V/1.99F "/>
    <s v=" — "/>
    <s v=" — "/>
    <x v="0"/>
    <x v="0"/>
    <s v=" — "/>
    <s v=" Craig comparison-shopping (current provider Chrismans); asked about variable rate risk, rep offered fixed alternative; customer said &quot;let me think about it&quot;—no specific attribute objection."/>
    <s v="—"/>
    <x v="0"/>
    <s v="006Rg00000b47QbIAI"/>
    <x v="0"/>
  </r>
  <r>
    <n v="13"/>
    <s v="006Rg00000b75s5IAA "/>
    <s v=" 2.00V/2.15F "/>
    <s v=" — "/>
    <s v=" — "/>
    <x v="0"/>
    <x v="0"/>
    <s v=" — "/>
    <s v=" Andy new home, prior supplier removed tank; asked about fixed vs variable, military discount, monitoring, timeline; accepted all answers and signed 3-yr agreement same call."/>
    <s v="—"/>
    <x v="0"/>
    <s v="006Rg00000b75s5IAA"/>
    <x v="1"/>
  </r>
  <r>
    <n v="13"/>
    <s v="006Rg00000b111dIAA "/>
    <s v=" — "/>
    <s v=" — "/>
    <s v=" — "/>
    <x v="0"/>
    <x v="0"/>
    <s v=" — "/>
    <s v=" Segment 1s duration, blank/no-content (valid per blank-segment rule); nothing to evaluate."/>
    <s v="—"/>
    <x v="0"/>
    <s v="006Rg00000b111dIAA"/>
    <x v="0"/>
  </r>
  <r>
    <n v="13"/>
    <s v="006Rg00000b738lIAA "/>
    <s v=" — "/>
    <s v=" 4C "/>
    <s v=" Yes "/>
    <x v="8"/>
    <x v="1"/>
    <s v=" High "/>
    <s v=" Customer (Sam/Clayton) explicitly refused to sign contract citing &quot;not a fan of the three year thing&quot;; confirmed will not proceed. Duplicate transcript of b6QdgIAE opportunity but coded independently per Opp ID."/>
    <s v="4C"/>
    <x v="1"/>
    <s v="006Rg00000b738lIAA"/>
    <x v="0"/>
  </r>
  <r>
    <n v="13"/>
    <s v="006Rg00000ba5FCIAY "/>
    <s v=" 2.42V/2.57F "/>
    <s v=" — "/>
    <s v=" — "/>
    <x v="0"/>
    <x v="0"/>
    <s v=" — "/>
    <s v=" Matthew building new home, first call comparison-shopping; heard pricing, promo, 3-yr agreement, install/line limits; agreed to set up account on follow-up call, no attribute rejected."/>
    <s v="—"/>
    <x v="0"/>
    <s v="006Rg00000ba5FCIAY"/>
    <x v="0"/>
  </r>
  <r>
    <n v="13"/>
    <s v="006Rg00000bac6LIAQ "/>
    <s v=" 1.91/gal "/>
    <s v=" — "/>
    <s v=" — "/>
    <x v="0"/>
    <x v="0"/>
    <s v=" — "/>
    <s v=" Joseph new tenant, 60-gal for stove/dryer; asked install/rental/delivery costs and MUC, accepted answers; said &quot;I'm going to call you back&quot; — no attribute rejected, deal open."/>
    <s v="—"/>
    <x v="0"/>
    <s v="006Rg00000bac6LIAQ"/>
    <x v="0"/>
  </r>
  <r>
    <n v="13"/>
    <s v="006Rg00000baVuPIAU "/>
    <s v=" 2.40/gal "/>
    <s v=" 4B "/>
    <s v=" Yes "/>
    <x v="17"/>
    <x v="5"/>
    <s v=" Medium "/>
    <s v=" Employee-customer seasonal camper: new-install policy forces 120-gal min with $70 rental + $120 MUC = ~$190/yr fixed; customer said &quot;probably beneficial just to keep the thirty pounders&quot; and diverted to manager for exception rather than proceeding."/>
    <s v="4B"/>
    <x v="3"/>
    <s v="006Rg00000baVuPIAU"/>
    <x v="0"/>
  </r>
  <r>
    <n v="1"/>
    <s v="006Rg00000a4cmjIAA"/>
    <m/>
    <s v=" 4F "/>
    <s v=" — "/>
    <x v="18"/>
    <x v="2"/>
    <s v=" High "/>
    <s v=" Customer cited neighbor Phil's $1.99 Superior rate; rep explained tailored pricing; customer signed at $2.11 locked without concession."/>
    <s v="4F"/>
    <x v="5"/>
    <s v="006Rg00000a4cmjIAA"/>
    <x v="0"/>
  </r>
  <r>
    <n v="1"/>
    <s v="006Rg00000a4cmjIAA "/>
    <m/>
    <s v=" 4C "/>
    <s v=" — "/>
    <x v="15"/>
    <x v="2"/>
    <s v=" High "/>
    <s v=" Customer normally pre-buys 500 gal in summer; rep said pre-buy only summer, offered lump-sum credit on account; customer accepted and signed."/>
    <s v="4C"/>
    <x v="1"/>
    <s v="006Rg00000a4cmjIAA"/>
    <x v="0"/>
  </r>
  <r>
    <n v="1"/>
    <s v="006Rg00000a4cmjIAA "/>
    <m/>
    <s v=" 4D "/>
    <s v=" — "/>
    <x v="19"/>
    <x v="2"/>
    <s v=" High "/>
    <s v=" Customer proactively asked about tank pickup fee citing AmeriGas history; accepted $250 pickup fee within 3-year term and signed."/>
    <s v="4D"/>
    <x v="4"/>
    <s v="006Rg00000a4cmjIAA"/>
    <x v="0"/>
  </r>
  <r>
    <n v="1"/>
    <s v="006Rg00000a4glWIAQ "/>
    <m/>
    <s v=" — "/>
    <s v=" — "/>
    <x v="0"/>
    <x v="0"/>
    <s v=" — "/>
    <s v=" —"/>
    <s v="—"/>
    <x v="0"/>
    <s v="006Rg00000a4glWIAQ"/>
    <x v="1"/>
  </r>
  <r>
    <n v="1"/>
    <s v="006Rg00000a4NXeIAM "/>
    <m/>
    <s v=" 4C "/>
    <s v=" — "/>
    <x v="1"/>
    <x v="6"/>
    <s v=" Medium "/>
    <s v=" Customer wanted to own tank; rep confirmed &quot;we typically don't sell those size tanks&quot;; opportunity ended undetermined pending daughter consult."/>
    <s v="4C"/>
    <x v="1"/>
    <s v="006Rg00000a4NXeIAM"/>
    <x v="0"/>
  </r>
  <r>
    <n v="1"/>
    <s v="006Rg00000a4NXeIAM "/>
    <m/>
    <s v=" 4B "/>
    <s v=" — "/>
    <x v="5"/>
    <x v="2"/>
    <s v=" Medium "/>
    <s v=" Rep disclosed $240/yr rental plus $120 MUC (~$360/yr) for ~50 gal/yr stove-only usage; customer noted budget but did not decline over fees."/>
    <s v="4B"/>
    <x v="3"/>
    <s v="006Rg00000a4NXeIAM"/>
    <x v="0"/>
  </r>
  <r>
    <n v="1"/>
    <s v="006Rg00000a4NXeIAM "/>
    <m/>
    <s v=" 4E "/>
    <s v=" — "/>
    <x v="13"/>
    <x v="2"/>
    <s v=" Medium "/>
    <s v=" Rep could not fill customer's owned 100lb cylinder due to truck fill pressure; 120-gal rental tank offered as alternative path."/>
    <s v="4E"/>
    <x v="6"/>
    <s v="006Rg00000a4NXeIAM"/>
    <x v="0"/>
  </r>
  <r>
    <n v="1"/>
    <s v="006Rg00000a4OLaIAM "/>
    <m/>
    <s v=" 4F "/>
    <s v=" — "/>
    <x v="18"/>
    <x v="2"/>
    <s v=" Medium "/>
    <s v=" Customer expected free install because friend Donald &quot;said to take it for free&quot;; rep said promo not currently offered; customer conceded and continued."/>
    <s v="4F"/>
    <x v="5"/>
    <s v="006Rg00000a4OLaIAM"/>
    <x v="0"/>
  </r>
  <r>
    <n v="1"/>
    <s v="006Rg00000a4OLaIAM "/>
    <m/>
    <s v=" 4B "/>
    <s v=" — "/>
    <x v="20"/>
    <x v="2"/>
    <s v=" Medium "/>
    <s v=" Customer questioned delivery fee logic given proximity of trucks; rep explained fee covers delivery not proximity; customer accepted."/>
    <s v="4B"/>
    <x v="3"/>
    <s v="006Rg00000a4OLaIAM"/>
    <x v="0"/>
  </r>
  <r>
    <n v="1"/>
    <s v="006Rg00000a4z8DIAQ "/>
    <m/>
    <s v=" — "/>
    <s v=" — "/>
    <x v="0"/>
    <x v="0"/>
    <s v=" — "/>
    <s v=" —"/>
    <s v="—"/>
    <x v="0"/>
    <s v="006Rg00000a4z8DIAQ"/>
    <x v="0"/>
  </r>
  <r>
    <n v="1"/>
    <s v="006Rg00000a5bWtIAI "/>
    <m/>
    <s v=" 4C "/>
    <s v=" — "/>
    <x v="1"/>
    <x v="2"/>
    <s v=" Medium "/>
    <s v=" Customer asked if rental applied toward ownership; rep confirmed rented tank only; customer said &quot;okay&quot; and continued engagement pending tank-ownership determination."/>
    <s v="4C"/>
    <x v="1"/>
    <s v="006Rg00000a5bWtIAI"/>
    <x v="0"/>
  </r>
  <r>
    <n v="1"/>
    <s v="006Rg00000a5bWtIAI "/>
    <m/>
    <s v=" — "/>
    <s v=" — "/>
    <x v="0"/>
    <x v="0"/>
    <s v=" — "/>
    <s v=" —"/>
    <s v="—"/>
    <x v="0"/>
    <s v="006Rg00000a5bWtIAI"/>
    <x v="0"/>
  </r>
  <r>
    <n v="1"/>
    <s v="006Rg00000a5YAoIAM "/>
    <m/>
    <s v=" 4E "/>
    <s v=" Yes "/>
    <x v="13"/>
    <x v="1"/>
    <s v=" High "/>
    <s v=" Customer wanted refills to owned 100lb cylinders; rep stated &quot;the tank size you have we don't deliver to&quot;; customer refused 120-gal upgrade and ended call."/>
    <s v="4E"/>
    <x v="6"/>
    <s v="006Rg00000a5YAoIAM"/>
    <x v="0"/>
  </r>
  <r>
    <n v="1"/>
    <s v="006Rg00000a5YAoIAM "/>
    <m/>
    <s v=" 4E "/>
    <s v=" — "/>
    <x v="21"/>
    <x v="2"/>
    <s v=" Medium "/>
    <s v=" Customer asked if Superior could transport his tanks; rep confirmed &quot;we don't provide that service&quot;; customer disengaged citing wheelchair constraint."/>
    <s v="4E"/>
    <x v="6"/>
    <s v="006Rg00000a5YAoIAM"/>
    <x v="0"/>
  </r>
  <r>
    <n v="1"/>
    <s v="006Rg00000a7clOIAQ "/>
    <m/>
    <s v=" — "/>
    <s v=" — "/>
    <x v="0"/>
    <x v="0"/>
    <s v=" — "/>
    <s v=" —"/>
    <s v="—"/>
    <x v="0"/>
    <s v="006Rg00000a7clOIAQ"/>
    <x v="1"/>
  </r>
  <r>
    <n v="1"/>
    <s v="006Rg00000a7ejzIAA "/>
    <m/>
    <s v=" — "/>
    <s v=" — "/>
    <x v="0"/>
    <x v="0"/>
    <s v=" — "/>
    <s v=" —"/>
    <s v="—"/>
    <x v="0"/>
    <s v="006Rg00000a7ejzIAA"/>
    <x v="1"/>
  </r>
  <r>
    <n v="1"/>
    <s v="006Rg00000a7iKZIAY "/>
    <m/>
    <s v=" 4B "/>
    <s v=" Yes "/>
    <x v="10"/>
    <x v="5"/>
    <s v=" Medium "/>
    <s v=" Customer chose COD/will-call, then reacted to $29.90 will-call delivery fee (&quot;a little bit too much for me&quot;) and deferred despite rep pointing to cheaper $14.95 auto-fill option."/>
    <s v="4B"/>
    <x v="3"/>
    <s v="006Rg00000a7iKZIAY"/>
    <x v="0"/>
  </r>
  <r>
    <n v="1"/>
    <s v="006Rg00000a7iSbIAI "/>
    <m/>
    <s v=" 4B "/>
    <s v=" — "/>
    <x v="7"/>
    <x v="2"/>
    <s v=" Medium "/>
    <s v=" Customer asked about post-year-1 rental; rep confirmed $99.99/yr; customer said &quot;I've heard enough, I'll keep you in mind&quot; — shopping deferral, no attribute-specific rejection."/>
    <s v="4B"/>
    <x v="3"/>
    <s v="006Rg00000a7iSbIAI"/>
    <x v="0"/>
  </r>
  <r>
    <n v="1"/>
    <s v="006Rg00000a7LFtIAM "/>
    <m/>
    <s v=" — "/>
    <s v=" — "/>
    <x v="0"/>
    <x v="0"/>
    <s v=" — "/>
    <s v=" —"/>
    <s v="—"/>
    <x v="0"/>
    <s v="006Rg00000a7LFtIAM"/>
    <x v="1"/>
  </r>
  <r>
    <n v="2"/>
    <s v="006Rg00000a7mG5IAI "/>
    <m/>
    <s v=" — "/>
    <s v=" — "/>
    <x v="0"/>
    <x v="0"/>
    <s v=" — "/>
    <s v=" —"/>
    <s v="—"/>
    <x v="0"/>
    <s v="006Rg00000a7mG5IAI"/>
    <x v="0"/>
  </r>
  <r>
    <n v="2"/>
    <s v="006Rg00000a7oMmIAI "/>
    <m/>
    <s v=" 4B "/>
    <s v=" Yes "/>
    <x v="22"/>
    <x v="5"/>
    <s v=" Medium "/>
    <s v=" Customer objected to $99 safety leak-test citing budget (&quot;don't have extra dollars&quot;); rep waived $14.95 transportation fee and logged request to waive leak test."/>
    <s v="4B"/>
    <x v="3"/>
    <s v="006Rg00000a7oMmIAI"/>
    <x v="1"/>
  </r>
  <r>
    <n v="2"/>
    <s v="006Rg00000a7ONSIA2 "/>
    <m/>
    <s v=" 4B "/>
    <s v=" — "/>
    <x v="23"/>
    <x v="2"/>
    <s v=" High "/>
    <s v=" Rental $70 plus $120 MUC disclosed for cook-only usage; customer processed &quot;$140 a year&quot; without pushback and proceeded through signup and contract."/>
    <s v="4B"/>
    <x v="3"/>
    <s v="006Rg00000a7ONSIA2"/>
    <x v="1"/>
  </r>
  <r>
    <n v="2"/>
    <s v="006Rg00000a7VrzIAE "/>
    <m/>
    <s v=" 4C "/>
    <s v=" — "/>
    <x v="1"/>
    <x v="2"/>
    <s v=" Medium "/>
    <s v=" Customer weighing buy vs lease; rep said Superior doesn't sell tanks in that area but offered COT if customer sources tank elsewhere; customer stayed engaged."/>
    <s v="4C"/>
    <x v="1"/>
    <s v="006Rg00000a7VrzIAE"/>
    <x v="0"/>
  </r>
  <r>
    <n v="2"/>
    <s v="006Rg00000a7Ww6IAE "/>
    <m/>
    <s v=" 4A "/>
    <s v=" Yes "/>
    <x v="24"/>
    <x v="1"/>
    <s v=" High "/>
    <s v=" After hearing $4.81/gal plus $70 rental, customer computed total, said &quot;still way more crazy... nevermind thanks&quot; and ended the call."/>
    <s v="4A"/>
    <x v="2"/>
    <s v="006Rg00000a7Ww6IAE"/>
    <x v="0"/>
  </r>
  <r>
    <n v="2"/>
    <s v="006Rg00000a7zejIAA "/>
    <m/>
    <s v=" — "/>
    <s v=" — "/>
    <x v="0"/>
    <x v="0"/>
    <s v=" — "/>
    <s v=" —"/>
    <s v="—"/>
    <x v="0"/>
    <s v="006Rg00000a7zejIAA"/>
    <x v="0"/>
  </r>
  <r>
    <n v="2"/>
    <s v="006Rg00000a7ZtxIAE "/>
    <m/>
    <s v=" — "/>
    <s v=" — "/>
    <x v="0"/>
    <x v="0"/>
    <s v=" — "/>
    <s v=" —"/>
    <s v="—"/>
    <x v="0"/>
    <s v="006Rg00000a7ZtxIAE"/>
    <x v="0"/>
  </r>
  <r>
    <n v="2"/>
    <s v="006Rg00000a05e7IAA "/>
    <m/>
    <s v=" — "/>
    <s v=" — "/>
    <x v="0"/>
    <x v="0"/>
    <s v=" — "/>
    <s v=" —"/>
    <s v="—"/>
    <x v="0"/>
    <s v="006Rg00000a05e7IAA"/>
    <x v="0"/>
  </r>
  <r>
    <n v="2"/>
    <s v="006Rg00000a89fiIAA "/>
    <m/>
    <s v=" 4E "/>
    <s v=" Yes "/>
    <x v="13"/>
    <x v="1"/>
    <s v=" High "/>
    <s v=" Superior's smallest offered tank was 120 gal; customer wanted smaller like the 30-lb camper tanks others had, declined and said would try elsewhere."/>
    <s v="4E"/>
    <x v="6"/>
    <s v="006Rg00000a89fiIAA"/>
    <x v="0"/>
  </r>
  <r>
    <n v="2"/>
    <s v="006Rg00000aA1FrIAK "/>
    <m/>
    <s v=" 4D "/>
    <s v=" Yes "/>
    <x v="25"/>
    <x v="1"/>
    <s v=" Medium "/>
    <s v=" Customer refused credit check (&quot;we can't do that right now&quot;); on hearing COD prepay was the alternative, deferred deal (&quot;let's figure some stuff out... call back&quot;)."/>
    <s v="4D"/>
    <x v="4"/>
    <s v="006Rg00000aA1FrIAK"/>
    <x v="0"/>
  </r>
  <r>
    <n v="2"/>
    <s v="006Rg00000aA1FrIAK "/>
    <m/>
    <s v=" 4F "/>
    <s v=" — "/>
    <x v="26"/>
    <x v="2"/>
    <s v=" High "/>
    <s v=" Customer asked for referral credit as referred party; rep confirmed only referrer receives it; customer accepted (&quot;still think it's cheaper than Amerigas&quot;) and continued."/>
    <s v="4F"/>
    <x v="5"/>
    <s v="006Rg00000aA1FrIAK"/>
    <x v="0"/>
  </r>
  <r>
    <n v="2"/>
    <s v="006Rg00000aA7TJIA0 "/>
    <m/>
    <s v=" 4D "/>
    <s v=" — "/>
    <x v="19"/>
    <x v="2"/>
    <s v=" High "/>
    <s v=" Customer asked about hidden fees/cancellation given past Suburban experience; rep disclosed $250 tank pickup fee; customer accepted and said she'd discuss with husband."/>
    <s v="4D"/>
    <x v="4"/>
    <s v="006Rg00000aA7TJIA0"/>
    <x v="1"/>
  </r>
  <r>
    <n v="2"/>
    <s v="006Rg00000aA7TJIA0 "/>
    <m/>
    <s v=" 4B "/>
    <s v=" — "/>
    <x v="27"/>
    <x v="2"/>
    <s v=" Medium "/>
    <s v=" Will-call fee ($29.95 vs $14.95 auto) disclosed; customer opted for automatic without pushback (&quot;we probably do that just because... we don't have to think about it&quot;)."/>
    <s v="4B"/>
    <x v="3"/>
    <s v="006Rg00000aA7TJIA0"/>
    <x v="1"/>
  </r>
  <r>
    <n v="2"/>
    <s v="006Rg00000aABQTIA4 "/>
    <m/>
    <s v=" — "/>
    <s v=" — "/>
    <x v="0"/>
    <x v="0"/>
    <s v=" — "/>
    <s v=" —"/>
    <s v="—"/>
    <x v="0"/>
    <s v="006Rg00000aABQTIA4"/>
    <x v="0"/>
  </r>
  <r>
    <n v="2"/>
    <s v="006Rg00000aAbsoIAC "/>
    <m/>
    <s v=" — "/>
    <s v=" — "/>
    <x v="0"/>
    <x v="0"/>
    <s v=" — "/>
    <s v=" —"/>
    <s v="—"/>
    <x v="0"/>
    <s v="006Rg00000aAbsoIAC"/>
    <x v="0"/>
  </r>
  <r>
    <n v="2"/>
    <s v="006Rg00000aAF5wIAG "/>
    <m/>
    <s v=" — "/>
    <s v=" — "/>
    <x v="0"/>
    <x v="0"/>
    <s v=" — "/>
    <s v=" —"/>
    <s v="—"/>
    <x v="0"/>
    <s v="006Rg00000aAF5wIAG"/>
    <x v="0"/>
  </r>
  <r>
    <n v="2"/>
    <s v="006Rg00000aAkMdIAK "/>
    <m/>
    <s v=" 4D "/>
    <s v=" — "/>
    <x v="19"/>
    <x v="2"/>
    <s v=" High "/>
    <s v=" Customer asked &quot;no surprises in this contract right?&quot;; rep disclosed 3-year term with $500 first-year / $250 later-year termination fees; customer accepted and signed."/>
    <s v="4D"/>
    <x v="4"/>
    <s v="006Rg00000aAkMdIAK"/>
    <x v="1"/>
  </r>
  <r>
    <n v="2"/>
    <s v="006Rg00000aAtMgIAK "/>
    <m/>
    <s v=" — "/>
    <s v=" — "/>
    <x v="0"/>
    <x v="0"/>
    <s v=" — "/>
    <s v=" —"/>
    <s v="—"/>
    <x v="0"/>
    <s v="006Rg00000aAtMgIAK"/>
    <x v="1"/>
  </r>
  <r>
    <n v="2"/>
    <s v="006Rg00000aAyfkIAC "/>
    <m/>
    <s v=" 4C "/>
    <s v=" Yes "/>
    <x v="15"/>
    <x v="5"/>
    <s v=" Medium "/>
    <s v=" Customer stated 8-year preference for Shaw's pre-buy structure; rep confirmed Superior offers only variable or fixed, no pre-buy; customer said &quot;nothing's tempted me&quot; and deferred decision."/>
    <s v="4C"/>
    <x v="1"/>
    <s v="006Rg00000aAyfkIAC"/>
    <x v="0"/>
  </r>
  <r>
    <n v="2"/>
    <s v="006Rg00000aAyfkIAC "/>
    <m/>
    <s v=" 4F "/>
    <s v=" — "/>
    <x v="18"/>
    <x v="2"/>
    <s v=" High "/>
    <s v=" Customer cited neighbor Mike's $1.61 Superior rate; rep explained rates vary by usage/location and no active promo; customer accepted answer and moved on."/>
    <s v="4F"/>
    <x v="5"/>
    <s v="006Rg00000aAyfkIAC"/>
    <x v="0"/>
  </r>
  <r>
    <n v="2"/>
    <s v="006Rg00000aBAvRIAW "/>
    <m/>
    <s v=" — "/>
    <s v=" — "/>
    <x v="0"/>
    <x v="0"/>
    <s v=" — "/>
    <s v=" —"/>
    <s v="—"/>
    <x v="0"/>
    <s v="006Rg00000aBAvRIAW"/>
    <x v="1"/>
  </r>
  <r>
    <n v="2"/>
    <s v="006Rg00000aBfSvIAK "/>
    <m/>
    <s v=" — "/>
    <s v=" — "/>
    <x v="0"/>
    <x v="0"/>
    <s v=" — "/>
    <s v=" —"/>
    <s v="—"/>
    <x v="0"/>
    <s v="006Rg00000aBfSvIAK"/>
    <x v="1"/>
  </r>
  <r>
    <n v="2"/>
    <s v="006Rg00000aBomOIAS "/>
    <m/>
    <s v=" — "/>
    <s v=" — "/>
    <x v="0"/>
    <x v="0"/>
    <s v=" — "/>
    <s v=" —"/>
    <s v="—"/>
    <x v="0"/>
    <s v="006Rg00000aBomOIAS"/>
    <x v="1"/>
  </r>
  <r>
    <n v="2"/>
    <s v="006Rg00000aAtMgIAK "/>
    <m/>
    <s v=" — "/>
    <s v=" — "/>
    <x v="0"/>
    <x v="0"/>
    <s v=" — "/>
    <s v=" —"/>
    <s v="—"/>
    <x v="0"/>
    <s v="006Rg00000aAtMgIAK"/>
    <x v="1"/>
  </r>
  <r>
    <n v="2"/>
    <s v="006Rg00000aAyfkIAC "/>
    <m/>
    <s v=" 4C "/>
    <s v=" Yes "/>
    <x v="15"/>
    <x v="5"/>
    <s v=" Medium "/>
    <s v=" Customer stated 8-year preference for Shaw's pre-buy structure; rep confirmed Superior offers only variable or fixed, no pre-buy; customer said &quot;nothing's tempted me&quot; and deferred decision."/>
    <s v="4C"/>
    <x v="1"/>
    <s v="006Rg00000aAyfkIAC"/>
    <x v="0"/>
  </r>
  <r>
    <n v="2"/>
    <s v="006Rg00000aAyfkIAC "/>
    <m/>
    <s v=" 4F "/>
    <s v=" — "/>
    <x v="18"/>
    <x v="2"/>
    <s v=" High "/>
    <s v=" Customer cited neighbor Mike's $1.61 Superior rate; rep explained rates vary by usage/location and no active promo; customer accepted answer and moved on."/>
    <s v="4F"/>
    <x v="5"/>
    <s v="006Rg00000aAyfkIAC"/>
    <x v="0"/>
  </r>
  <r>
    <n v="2"/>
    <s v="006Rg00000aBAvRIAW "/>
    <m/>
    <s v=" — "/>
    <s v=" — "/>
    <x v="0"/>
    <x v="0"/>
    <s v=" — "/>
    <s v=" —"/>
    <s v="—"/>
    <x v="0"/>
    <s v="006Rg00000aBAvRIAW"/>
    <x v="1"/>
  </r>
  <r>
    <n v="2"/>
    <s v="006Rg00000aBfSvIAK "/>
    <m/>
    <s v=" — "/>
    <s v=" — "/>
    <x v="0"/>
    <x v="0"/>
    <s v=" — "/>
    <s v=" —"/>
    <s v="—"/>
    <x v="0"/>
    <s v="006Rg00000aBfSvIAK"/>
    <x v="1"/>
  </r>
  <r>
    <n v="2"/>
    <s v="006Rg00000aBomOIAS "/>
    <m/>
    <s v=" — "/>
    <s v=" — "/>
    <x v="0"/>
    <x v="0"/>
    <s v=" — "/>
    <s v=" —"/>
    <s v="—"/>
    <x v="0"/>
    <s v="006Rg00000aBomOIAS"/>
    <x v="1"/>
  </r>
  <r>
    <n v="2"/>
    <s v="006Rg00000adbuDIAQ "/>
    <m/>
    <s v=" — "/>
    <s v=" — "/>
    <x v="0"/>
    <x v="0"/>
    <s v=" — "/>
    <s v=" —"/>
    <s v="—"/>
    <x v="0"/>
    <s v="006Rg00000adbuDIAQ"/>
    <x v="1"/>
  </r>
  <r>
    <n v="2"/>
    <s v="006Rg00000adduRIAQ "/>
    <m/>
    <s v=" — "/>
    <s v=" — "/>
    <x v="0"/>
    <x v="0"/>
    <s v=" — "/>
    <s v=" —"/>
    <s v="—"/>
    <x v="0"/>
    <s v="006Rg00000adduRIAQ"/>
    <x v="0"/>
  </r>
  <r>
    <n v="2"/>
    <s v="006Rg00000adf1lIAA "/>
    <m/>
    <s v=" — "/>
    <s v=" — "/>
    <x v="0"/>
    <x v="0"/>
    <s v=" — "/>
    <s v=" —"/>
    <s v="—"/>
    <x v="0"/>
    <s v="006Rg00000adf1lIAA"/>
    <x v="1"/>
  </r>
  <r>
    <n v="2"/>
    <s v="006Rg00000adf6dIAA "/>
    <m/>
    <s v=" — "/>
    <s v=" — "/>
    <x v="0"/>
    <x v="0"/>
    <s v=" — "/>
    <s v=" —"/>
    <s v="—"/>
    <x v="0"/>
    <s v="006Rg00000adf6dIAA"/>
    <x v="1"/>
  </r>
  <r>
    <n v="2"/>
    <s v="006Rg00000adoZiIAI "/>
    <m/>
    <s v=" 4E "/>
    <s v=" Yes "/>
    <x v="16"/>
    <x v="5"/>
    <s v=" Medium "/>
    <s v=" Customer had no heat after prior supplier removed tank; rep quoted 1-2 week install; customer reacted &quot;wow&quot; and said next calls would be to former supplier and attorney."/>
    <s v="4E"/>
    <x v="6"/>
    <s v="006Rg00000adoZiIAI"/>
    <x v="1"/>
  </r>
  <r>
    <n v="2"/>
    <s v="006Rg00000adoZiIAI "/>
    <m/>
    <s v=" 4C "/>
    <s v=" — "/>
    <x v="1"/>
    <x v="2"/>
    <s v=" Medium "/>
    <s v=" Customer said &quot;would just prefer to buy a tank&quot;; rep confirmed tanks not sold in this area; customer accepted &quot;if you don't do it you don't do it&quot; and continued."/>
    <s v="4C"/>
    <x v="1"/>
    <s v="006Rg00000adoZiIAI"/>
    <x v="1"/>
  </r>
  <r>
    <n v="2"/>
    <s v="006Rg00000adoZiIAI "/>
    <m/>
    <s v=" 4F "/>
    <s v=" — "/>
    <x v="12"/>
    <x v="2"/>
    <s v=" Medium "/>
    <s v=" Customer asked about $500 switch promo; ineligible due to low seasonal usage; customer replied &quot;not really concerned about the promo cost.&quot;"/>
    <s v="4F"/>
    <x v="5"/>
    <s v="006Rg00000adoZiIAI"/>
    <x v="1"/>
  </r>
  <r>
    <n v="3"/>
    <s v="006Rg00000aDtmjIAC "/>
    <m/>
    <s v=" — "/>
    <s v=" — "/>
    <x v="0"/>
    <x v="0"/>
    <s v=" — "/>
    <s v=" —"/>
    <s v="—"/>
    <x v="0"/>
    <s v="006Rg00000aDtmjIAC"/>
    <x v="0"/>
  </r>
  <r>
    <n v="3"/>
    <s v="006Rg00000adXk9IAE "/>
    <m/>
    <s v=" 4E "/>
    <s v=" Yes "/>
    <x v="16"/>
    <x v="5"/>
    <s v=" Medium "/>
    <s v=" Customer has no heat after prior supplier removed tank; reacted &quot;one to two weeks install wow&quot; and said next calls would be to another company; deal stalled pending faster timeline."/>
    <s v="4E"/>
    <x v="6"/>
    <s v="006Rg00000adXk9IAE"/>
    <x v="0"/>
  </r>
  <r>
    <n v="3"/>
    <s v="006Rg00000adXk9IAE "/>
    <m/>
    <s v=" 4C "/>
    <s v=" — "/>
    <x v="1"/>
    <x v="2"/>
    <s v=" Medium "/>
    <s v=" Customer stated preference to buy tank; rep confirmed tanks not sold in this area; customer accepted &quot;if you don't do it you don't do it&quot; and continued."/>
    <s v="4C"/>
    <x v="1"/>
    <s v="006Rg00000adXk9IAE"/>
    <x v="0"/>
  </r>
  <r>
    <n v="3"/>
    <s v="006Rg00000adXk9IAE "/>
    <m/>
    <s v=" 4C "/>
    <s v=" — "/>
    <x v="8"/>
    <x v="2"/>
    <s v=" Medium "/>
    <s v=" Customer questioned 3-year term (&quot;engaged here&quot;); rep explained cancellation policy; customer accepted and continued discussion."/>
    <s v="4C"/>
    <x v="1"/>
    <s v="006Rg00000adXk9IAE"/>
    <x v="0"/>
  </r>
  <r>
    <n v="3"/>
    <s v="006Rg00000adXk9IAE "/>
    <m/>
    <s v=" 4F "/>
    <s v=" — "/>
    <x v="12"/>
    <x v="2"/>
    <s v=" Medium "/>
    <s v=" Customer asked about $500 switch promo; ineligible due to low seasonal usage; customer said &quot;not really concerned about the promo cost.&quot;"/>
    <s v="4F"/>
    <x v="5"/>
    <s v="006Rg00000adXk9IAE"/>
    <x v="0"/>
  </r>
  <r>
    <n v="3"/>
    <s v="006Rg00000aDXmHIAW "/>
    <m/>
    <s v=" — "/>
    <s v=" — "/>
    <x v="0"/>
    <x v="0"/>
    <s v=" — "/>
    <s v=" —"/>
    <s v="—"/>
    <x v="0"/>
    <s v="006Rg00000aDXmHIAW"/>
    <x v="0"/>
  </r>
  <r>
    <n v="3"/>
    <s v="006Rg00000adZafIAE "/>
    <m/>
    <s v=" 4B "/>
    <s v=" — "/>
    <x v="22"/>
    <x v="2"/>
    <s v=" Medium "/>
    <s v=" Customer pushed back on $99 safety inspection (&quot;I've had a hundred of them done already&quot;) and said he'd get back; returned same day and signed without concession."/>
    <s v="4B"/>
    <x v="3"/>
    <s v="006Rg00000adZafIAE"/>
    <x v="1"/>
  </r>
  <r>
    <n v="3"/>
    <s v="006Rg00000adZafIAE "/>
    <m/>
    <s v=" 4D "/>
    <s v=" — "/>
    <x v="19"/>
    <x v="3"/>
    <s v=" Medium "/>
    <s v=" Customer flagged termination clause; rep accurately explained it does not apply to customer-owned tanks; customer signed."/>
    <s v="4D"/>
    <x v="4"/>
    <s v="006Rg00000adZafIAE"/>
    <x v="1"/>
  </r>
  <r>
    <n v="3"/>
    <s v="006Rg00000ae7jBIAQ "/>
    <m/>
    <s v=" — "/>
    <s v=" — "/>
    <x v="0"/>
    <x v="0"/>
    <s v=" — "/>
    <s v=" —"/>
    <s v="—"/>
    <x v="0"/>
    <s v="006Rg00000ae7jBIAQ"/>
    <x v="0"/>
  </r>
  <r>
    <n v="3"/>
    <s v="006Rg00000aEDK3IAO "/>
    <m/>
    <s v=" 4E "/>
    <s v=" — "/>
    <x v="13"/>
    <x v="2"/>
    <s v=" Medium "/>
    <s v=" Customer stated preference to keep twin tanks rather than install 500-gallon; rep accepted the preference and deal continued pending customer's readiness."/>
    <s v="4E"/>
    <x v="6"/>
    <s v="006Rg00000aEDK3IAO"/>
    <x v="1"/>
  </r>
  <r>
    <n v="3"/>
    <s v="006Rg00000aEDK3IAO "/>
    <m/>
    <s v=" 4C "/>
    <s v=" — "/>
    <x v="8"/>
    <x v="3"/>
    <s v=" Medium "/>
    <s v=" Customer raised 3-year term concern for house flip; rep explained term does not apply since he won't be living at property; customer accepted."/>
    <s v="4C"/>
    <x v="1"/>
    <s v="006Rg00000aEDK3IAO"/>
    <x v="1"/>
  </r>
  <r>
    <n v="3"/>
    <s v="006Rg00000aEjBqIAK "/>
    <m/>
    <s v=" 4B "/>
    <s v=" — "/>
    <x v="10"/>
    <x v="2"/>
    <s v=" Medium "/>
    <s v=" Customer explored will-call to avoid credit check; rep disclosed COD delivery fee is $29.90 vs $14.95 automatic; customer chose credit check and proceeded."/>
    <s v="4B"/>
    <x v="3"/>
    <s v="006Rg00000aEjBqIAK"/>
    <x v="1"/>
  </r>
  <r>
    <n v="3"/>
    <s v="006Rg00000aeSk1IAE "/>
    <m/>
    <s v=" 4B "/>
    <s v=" — "/>
    <x v="28"/>
    <x v="2"/>
    <s v=" Medium "/>
    <s v=" Customer asked about $15/mo tank monitor fee; said &quot;if not I'll just do we'll call it&quot;; rep said local office may waive; customer signed without concession."/>
    <s v="4B"/>
    <x v="3"/>
    <s v="006Rg00000aeSk1IAE"/>
    <x v="1"/>
  </r>
  <r>
    <n v="3"/>
    <s v="006Rg00000aeSk1IAE "/>
    <m/>
    <s v=" 4A "/>
    <s v=" — "/>
    <x v="2"/>
    <x v="2"/>
    <s v=" Medium "/>
    <s v=" Customer cited Ferrellgas at $1.71 vs Superior $1.73; customer proceeded citing proximity and service reliability as reasons to switch."/>
    <s v="4A"/>
    <x v="2"/>
    <s v="006Rg00000aeSk1IAE"/>
    <x v="1"/>
  </r>
  <r>
    <n v="3"/>
    <s v="006Rg00000aeSk1IAE "/>
    <m/>
    <s v=" 4C "/>
    <s v=" — "/>
    <x v="8"/>
    <x v="2"/>
    <s v=" Medium "/>
    <s v=" 3-year agreement discussed; customer noted he could effectively cancel by using another supplier; rep acknowledged; customer signed and proceeded."/>
    <s v="4C"/>
    <x v="1"/>
    <s v="006Rg00000aeSk1IAE"/>
    <x v="1"/>
  </r>
  <r>
    <n v="3"/>
    <s v="006Rg00000aETDVIA4 "/>
    <m/>
    <s v=" 4C "/>
    <s v=" — "/>
    <x v="1"/>
    <x v="2"/>
    <s v=" Medium "/>
    <s v=" Customer asked whether tanks were sold or rented; rep confirmed lease only; customer accepted &quot;sounds like a very good deal&quot; and asked follow-up questions to proceed."/>
    <s v="4C"/>
    <x v="1"/>
    <s v="006Rg00000aETDVIA4"/>
    <x v="0"/>
  </r>
  <r>
    <n v="3"/>
    <s v="006Rg00000agaggIAA "/>
    <m/>
    <s v=" — "/>
    <s v=" — "/>
    <x v="0"/>
    <x v="0"/>
    <s v=" — "/>
    <s v=" —"/>
    <s v="—"/>
    <x v="0"/>
    <s v="006Rg00000agaggIAA"/>
    <x v="0"/>
  </r>
  <r>
    <n v="3"/>
    <s v="006Rg00000aGe4pIAC "/>
    <m/>
    <s v=" — "/>
    <s v=" — "/>
    <x v="0"/>
    <x v="0"/>
    <s v=" — "/>
    <s v=" —"/>
    <s v="—"/>
    <x v="0"/>
    <s v="006Rg00000aGe4pIAC"/>
    <x v="1"/>
  </r>
  <r>
    <n v="4"/>
    <s v="006Rg00000agkGFIAY "/>
    <m/>
    <s v=" — "/>
    <s v=" — "/>
    <x v="0"/>
    <x v="0"/>
    <s v=" — "/>
    <s v=" —"/>
    <s v="—"/>
    <x v="0"/>
    <s v="006Rg00000agkGFIAY"/>
    <x v="1"/>
  </r>
  <r>
    <n v="4"/>
    <s v="006Rg00000aGpBVIA0 "/>
    <m/>
    <s v=" — "/>
    <s v=" — "/>
    <x v="0"/>
    <x v="0"/>
    <s v=" — "/>
    <s v=" —"/>
    <s v="—"/>
    <x v="0"/>
    <s v="006Rg00000aGpBVIA0"/>
    <x v="0"/>
  </r>
  <r>
    <n v="4"/>
    <s v="006Rg00000agRIQIA2 "/>
    <m/>
    <s v=" — "/>
    <s v=" — "/>
    <x v="0"/>
    <x v="0"/>
    <s v=" — "/>
    <s v=" —"/>
    <s v="—"/>
    <x v="0"/>
    <s v="006Rg00000agRIQIA2"/>
    <x v="1"/>
  </r>
  <r>
    <n v="4"/>
    <s v="006Rg00000aGscRIAS "/>
    <m/>
    <s v=" 4F "/>
    <s v=" Yes "/>
    <x v="18"/>
    <x v="1"/>
    <s v=" Medium "/>
    <s v=" Customer cited friend Louis's $1.76/gal Superior quote as reason for calling; agent explained $1.76 was tied to friend's 460 gal/yr usage bracket unavailable at his summer-only camper usage; customer disengaged, unresponsive to two follow-up voicemails."/>
    <s v="4F"/>
    <x v="5"/>
    <s v="006Rg00000aGscRIAS"/>
    <x v="0"/>
  </r>
  <r>
    <n v="4"/>
    <s v="006Rg00000ah5BDIAY "/>
    <m/>
    <s v=" — "/>
    <s v=" — "/>
    <x v="0"/>
    <x v="0"/>
    <s v=" — "/>
    <s v=" —"/>
    <s v="—"/>
    <x v="0"/>
    <s v="006Rg00000ah5BDIAY"/>
    <x v="0"/>
  </r>
  <r>
    <n v="4"/>
    <s v="006Rg00000ahdivIAA "/>
    <m/>
    <s v=" 4C "/>
    <s v=" — "/>
    <x v="15"/>
    <x v="2"/>
    <s v=" Medium "/>
    <s v=" Customer asked &quot;I would wanna do a pre by?&quot; (Seg 1); rep did not confirm pre-buy availability and stall was driven by spouse consultation, not the offer attribute."/>
    <s v="4C"/>
    <x v="1"/>
    <s v="006Rg00000ahdivIAA"/>
    <x v="0"/>
  </r>
  <r>
    <n v="4"/>
    <s v="006Rg00000aHJvxIAG "/>
    <m/>
    <s v=" 4B "/>
    <s v=" — "/>
    <x v="29"/>
    <x v="1"/>
    <s v=" High "/>
    <s v=" After reading agreement customer said &quot;hidden fees everywhere. Like fees for monitoring fees for delivery fees for billing freeze&quot; (Seg 1) and refused to sign, choosing to keep shopping."/>
    <s v="4B"/>
    <x v="3"/>
    <s v="006Rg00000aHJvxIAG"/>
    <x v="0"/>
  </r>
  <r>
    <n v="4"/>
    <s v="006Rg00000aHJvxIAG "/>
    <m/>
    <s v=" 4D "/>
    <s v=" Yes "/>
    <x v="19"/>
    <x v="1"/>
    <s v=" High "/>
    <s v=" &quot;termination fees are just insane. It's like five hundred dollars&quot;; &quot;I don't wanna get screwed with like a five hundred dollar removal fee&quot; (Seg 1); customer, uncertain about long-term pool use, walked to avoid exit exposure."/>
    <s v="4D"/>
    <x v="4"/>
    <s v="006Rg00000aHJvxIAG"/>
    <x v="0"/>
  </r>
  <r>
    <n v="4"/>
    <s v="006Rg00000ahpXDIAY "/>
    <m/>
    <s v=" — "/>
    <s v=" — "/>
    <x v="0"/>
    <x v="0"/>
    <s v=" — "/>
    <s v=" —"/>
    <s v="—"/>
    <x v="0"/>
    <s v="006Rg00000ahpXDIAY"/>
    <x v="1"/>
  </r>
  <r>
    <n v="4"/>
    <s v="006Rg00000ahv37IAA "/>
    <m/>
    <s v=" 4B "/>
    <s v=" Yes "/>
    <x v="5"/>
    <x v="5"/>
    <s v=" Medium "/>
    <s v=" Seasonal Apr–Oct rental cabin below 125 gal MUC threshold makes lease uneconomical ($70 rental + $120 MUC ˜ $190/yr) (Seg 1); customer only proceeded by purchasing a 200-lb tank instead of leasing."/>
    <s v="4B"/>
    <x v="3"/>
    <s v="006Rg00000ahv37IAA"/>
    <x v="1"/>
  </r>
  <r>
    <n v="4"/>
    <s v="006Rg00000ajNesIAE "/>
    <m/>
    <s v=" — "/>
    <s v=" — "/>
    <x v="0"/>
    <x v="0"/>
    <s v=" — "/>
    <s v=" —"/>
    <s v="—"/>
    <x v="0"/>
    <s v="006Rg00000ajNesIAE"/>
    <x v="1"/>
  </r>
  <r>
    <n v="4"/>
    <s v="006Rg00000ajupLIAQ "/>
    <m/>
    <s v=" — "/>
    <s v=" — "/>
    <x v="0"/>
    <x v="0"/>
    <s v=" — "/>
    <s v=" —"/>
    <s v="—"/>
    <x v="0"/>
    <s v="006Rg00000ajupLIAQ"/>
    <x v="0"/>
  </r>
  <r>
    <n v="4"/>
    <s v="006Rg00000ajZZbIAM "/>
    <m/>
    <s v=" 4A "/>
    <s v=" Yes "/>
    <x v="30"/>
    <x v="1"/>
    <s v=" High "/>
    <s v=" Customer stated &quot;you guys are roughly sixty cents higher dalen than the other companies are probably... i'm gonna have to pass&quot; (Seg 1) and ended the call."/>
    <s v="4A"/>
    <x v="2"/>
    <s v="006Rg00000ajZZbIAM"/>
    <x v="0"/>
  </r>
  <r>
    <n v="4"/>
    <s v="006Rg00000ajZZbIAM "/>
    <m/>
    <s v=" 4C "/>
    <s v=" — "/>
    <x v="15"/>
    <x v="2"/>
    <s v=" Medium "/>
    <s v=" Customer said &quot;i'm looking to prebuy&quot;; rep confirmed no pre-buy is offered, offered fixed rate as substitute; customer accepted the substitute framing and declined on rate, not on the missing pre-buy."/>
    <s v="4C"/>
    <x v="1"/>
    <s v="006Rg00000ajZZbIAM"/>
    <x v="0"/>
  </r>
  <r>
    <n v="4"/>
    <s v="006Rg00000akFSLIA2 "/>
    <m/>
    <s v=" 4C "/>
    <s v=" — "/>
    <x v="15"/>
    <x v="2"/>
    <s v=" Medium "/>
    <s v=" Customer noted &quot;I pretty by my propane... before the summer&quot; with current supplier (Seg 2); rep confirmed no pre-buy, offered fixed-rate lock; customer proceeded to sign the agreement without further resistance."/>
    <s v="4C"/>
    <x v="1"/>
    <s v="006Rg00000akFSLIA2"/>
    <x v="1"/>
  </r>
  <r>
    <n v="4"/>
    <s v="006Rg00000akMnBIAU "/>
    <m/>
    <s v=" — "/>
    <s v=" — "/>
    <x v="0"/>
    <x v="0"/>
    <s v=" — "/>
    <s v=" —"/>
    <s v="—"/>
    <x v="0"/>
    <s v="006Rg00000akMnBIAU"/>
    <x v="0"/>
  </r>
  <r>
    <n v="4"/>
    <s v="006Rg00000akpQzIAI "/>
    <m/>
    <s v=" — "/>
    <s v=" — "/>
    <x v="0"/>
    <x v="0"/>
    <s v=" — "/>
    <s v=" —"/>
    <s v="—"/>
    <x v="0"/>
    <s v="006Rg00000akpQzIAI"/>
    <x v="1"/>
  </r>
  <r>
    <n v="4"/>
    <s v="006Rg00000akSSnIAM "/>
    <m/>
    <s v=" — "/>
    <s v=" — "/>
    <x v="0"/>
    <x v="0"/>
    <s v=" — "/>
    <s v=" —"/>
    <s v="—"/>
    <x v="0"/>
    <s v="006Rg00000akSSnIAM"/>
    <x v="0"/>
  </r>
  <r>
    <n v="5"/>
    <s v="006Rg00000akv5AIAQ "/>
    <m/>
    <s v=" 4E "/>
    <s v=" — "/>
    <x v="13"/>
    <x v="3"/>
    <s v=" Medium "/>
    <s v=" Agent first offered 120-gal as smallest; customer said &quot;too big&quot;; agent then confirmed 60-gal tank in stock, closing the equipment size gap."/>
    <s v="4E"/>
    <x v="6"/>
    <s v="006Rg00000akv5AIAQ"/>
    <x v="0"/>
  </r>
  <r>
    <n v="5"/>
    <s v="006Rg00000akv5AIAQ "/>
    <m/>
    <s v=" 4B "/>
    <s v=" — "/>
    <x v="7"/>
    <x v="2"/>
    <s v=" Medium "/>
    <s v=" Customer heard $70/yr rental after first year with her seasonal ~73 gal/yr usage; did not object; deferred to check tank and consult another party."/>
    <s v="4B"/>
    <x v="3"/>
    <s v="006Rg00000akv5AIAQ"/>
    <x v="0"/>
  </r>
  <r>
    <n v="5"/>
    <s v="006Rg00000aKwPhIAK "/>
    <m/>
    <s v=" 4B "/>
    <s v=" — "/>
    <x v="6"/>
    <x v="2"/>
    <s v=" Medium "/>
    <s v=" Customer surprised by install fee (&quot;I thought they were just putting it in place&quot;); accepted &quot;nothing I can do about it now&quot; and completed docusign."/>
    <s v="4B"/>
    <x v="3"/>
    <s v="006Rg00000aKwPhIAK"/>
    <x v="1"/>
  </r>
  <r>
    <n v="5"/>
    <s v="006Rg00000aLkxaIAC "/>
    <m/>
    <s v=" 4B "/>
    <s v=" Yes "/>
    <x v="7"/>
    <x v="1"/>
    <s v=" High "/>
    <s v=" Customer declined stating &quot;the company I have now does not charge a rental fee for the tank,&quot; rejecting $99.99/yr rental after first year."/>
    <s v="4B"/>
    <x v="3"/>
    <s v="006Rg00000aLkxaIAC"/>
    <x v="0"/>
  </r>
  <r>
    <n v="5"/>
    <s v="006Rg00000aLn1UIAS "/>
    <m/>
    <s v=" 4D "/>
    <s v=" — "/>
    <x v="19"/>
    <x v="2"/>
    <s v=" Medium "/>
    <s v=" Customer asked about termination fees framed around service/price scenarios; rep disclosed $500/$300; customer said she doesn't switch frequently and proceeded through credit check."/>
    <s v="4D"/>
    <x v="4"/>
    <s v="006Rg00000aLn1UIAS"/>
    <x v="0"/>
  </r>
  <r>
    <n v="5"/>
    <s v="006Rg00000aLn1UIAS "/>
    <m/>
    <s v=" 4D "/>
    <s v=" — "/>
    <x v="31"/>
    <x v="4"/>
    <s v=" Low "/>
    <s v=" Rep's Seg 2 voicemail said agreement was &quot;difficult&quot; for customer; her specific verbatim objection to the contract is not captured across any segment."/>
    <s v="4D"/>
    <x v="4"/>
    <s v="006Rg00000aLn1UIAS"/>
    <x v="0"/>
  </r>
  <r>
    <n v="5"/>
    <s v="006Rg00000aLyYuIAK "/>
    <m/>
    <s v=" 4B "/>
    <s v=" — "/>
    <x v="7"/>
    <x v="2"/>
    <s v=" Medium "/>
    <s v=" Customer reacted &quot;$400 a year, no&quot; to $35.99/mo VT tank rental; agent deferred to loyalty-team waiver; customer proceeded through credit check but did not sign docusign."/>
    <s v="4B"/>
    <x v="3"/>
    <s v="006Rg00000aLyYuIAK"/>
    <x v="0"/>
  </r>
  <r>
    <n v="5"/>
    <s v="006Rg00000aM4mbIAC "/>
    <m/>
    <s v=" 4C "/>
    <s v=" — "/>
    <x v="15"/>
    <x v="2"/>
    <s v=" Medium "/>
    <s v=" Customer asked twice for pre-buy; rep confirmed only fixed or variable available; customer accepted variable rate and signed docusign."/>
    <s v="4C"/>
    <x v="1"/>
    <s v="006Rg00000aM4mbIAC"/>
    <x v="1"/>
  </r>
  <r>
    <n v="5"/>
    <s v="006Rg00000aM4mbIAC "/>
    <m/>
    <s v=" 4E "/>
    <s v=" — "/>
    <x v="21"/>
    <x v="2"/>
    <s v=" Medium "/>
    <s v=" Rep said &quot;we do not have capacity for trenching at this location&quot;; customer had own contractor to trench and proceeded with account setup."/>
    <s v="4E"/>
    <x v="6"/>
    <s v="006Rg00000aM4mbIAC"/>
    <x v="1"/>
  </r>
  <r>
    <n v="5"/>
    <s v="006Rg00000aM4mbIAC "/>
    <m/>
    <s v=" 4D "/>
    <s v=" — "/>
    <x v="19"/>
    <x v="2"/>
    <s v=" Medium "/>
    <s v=" Rep disclosed 3-year lease with $500 first-year / $250 remaining-years cancellation fees; customer accepted and signed docusign."/>
    <s v="4D"/>
    <x v="4"/>
    <s v="006Rg00000aM4mbIAC"/>
    <x v="1"/>
  </r>
  <r>
    <n v="5"/>
    <s v="006Rg00000aM9HdIAK "/>
    <m/>
    <s v=" — "/>
    <s v=" — "/>
    <x v="0"/>
    <x v="0"/>
    <s v=" — "/>
    <s v=" —"/>
    <s v="—"/>
    <x v="0"/>
    <s v="006Rg00000aM9HdIAK"/>
    <x v="1"/>
  </r>
  <r>
    <n v="5"/>
    <s v="006Rg00000aMejdIAC "/>
    <m/>
    <s v=" 4B "/>
    <s v=" — "/>
    <x v="5"/>
    <x v="2"/>
    <s v=" Medium "/>
    <s v=" 120-gal tank $70 rental + $120 MUC if under 125 gal/yr + $29.99 will-call fee rival low seasonal camp usage; hold-off driven by dad's death, competing non-offer cause."/>
    <s v="4B"/>
    <x v="3"/>
    <s v="006Rg00000aMejdIAC"/>
    <x v="0"/>
  </r>
  <r>
    <n v="5"/>
    <s v="006Rg00000aMG7rIAG "/>
    <m/>
    <s v=" 4B "/>
    <s v=" — "/>
    <x v="5"/>
    <x v="6"/>
    <s v=" Medium "/>
    <s v=" Cook-only ~3-5 gal/month = 36-60 gal/yr falls below 125-gal MUC threshold and 200-gal rental-waiver; $70+$120 fixed fees rival annual fuel; quote saved on file, undetermined."/>
    <s v="4B"/>
    <x v="3"/>
    <s v="006Rg00000aMG7rIAG"/>
    <x v="0"/>
  </r>
  <r>
    <n v="6"/>
    <s v="006Rg00000amMcfIAE "/>
    <m/>
    <s v=" — "/>
    <s v=" — "/>
    <x v="0"/>
    <x v="0"/>
    <s v=" — "/>
    <s v=" —"/>
    <s v="—"/>
    <x v="0"/>
    <s v="006Rg00000amMcfIAE"/>
    <x v="0"/>
  </r>
  <r>
    <n v="6"/>
    <s v="006Rg00000ammVRIAY "/>
    <m/>
    <s v=" — "/>
    <s v=" — "/>
    <x v="0"/>
    <x v="0"/>
    <s v=" — "/>
    <s v=" —"/>
    <s v="—"/>
    <x v="0"/>
    <s v="006Rg00000ammVRIAY"/>
    <x v="1"/>
  </r>
  <r>
    <n v="6"/>
    <s v="006Rg00000aMnYPIA0 "/>
    <m/>
    <s v=" — "/>
    <s v=" — "/>
    <x v="0"/>
    <x v="0"/>
    <s v=" — "/>
    <s v=" —"/>
    <s v="—"/>
    <x v="0"/>
    <s v="006Rg00000aMnYPIA0"/>
    <x v="0"/>
  </r>
  <r>
    <n v="6"/>
    <s v="006Rg00000aMSiUIAW "/>
    <m/>
    <s v=" 4C "/>
    <s v=" — "/>
    <x v="4"/>
    <x v="2"/>
    <s v=" High "/>
    <s v=" Customer surfaced lock-in expectation from friend's info (&quot;you gotta use 600 gallons I used a thousand&quot;); rep quoted variable $2.39 only; she absorbed and signed without pursuing."/>
    <s v="4C"/>
    <x v="1"/>
    <s v="006Rg00000aMSiUIAW"/>
    <x v="1"/>
  </r>
  <r>
    <n v="6"/>
    <s v="006Rg00000aMSiUIAW "/>
    <m/>
    <s v=" 4B "/>
    <s v=" — "/>
    <x v="7"/>
    <x v="3"/>
    <s v=" High "/>
    <s v=" Customer misread rental as &quot;$400 a year after year one&quot;; rep corrected to 400-gallon usage waiver threshold; she said &quot;looking pretty good&quot; and signed."/>
    <s v="4B"/>
    <x v="3"/>
    <s v="006Rg00000aMSiUIAW"/>
    <x v="1"/>
  </r>
  <r>
    <n v="6"/>
    <s v="006Rg00000aMuwTIAS "/>
    <m/>
    <s v=" — "/>
    <s v=" — "/>
    <x v="0"/>
    <x v="0"/>
    <s v=" — "/>
    <s v=" —"/>
    <s v="—"/>
    <x v="0"/>
    <s v="006Rg00000aMuwTIAS"/>
    <x v="1"/>
  </r>
  <r>
    <n v="6"/>
    <s v="006Rg00000aMVy5IAG "/>
    <m/>
    <s v=" — "/>
    <s v=" — "/>
    <x v="0"/>
    <x v="0"/>
    <s v=" — "/>
    <s v=" —"/>
    <s v="—"/>
    <x v="0"/>
    <s v="006Rg00000aMVy5IAG"/>
    <x v="0"/>
  </r>
  <r>
    <n v="6"/>
    <s v="006Rg00000aMXF7IAO"/>
    <m/>
    <s v=" 4C "/>
    <s v=" — "/>
    <x v="4"/>
    <x v="2"/>
    <s v=" High "/>
    <s v=" Customer asked whether $1.75 was a start-up rate that &quot;goes up from there&quot;; rep said it would likely hold ~3 years; customer said &quot;Wow&quot; and moved to promo discussion."/>
    <s v="4C"/>
    <x v="1"/>
    <s v="006Rg00000aMXF7IAO"/>
    <x v="0"/>
  </r>
  <r>
    <n v="6"/>
    <s v="006Rg00000aN0HAIA0 "/>
    <m/>
    <s v=" 4F "/>
    <s v=" Yes "/>
    <x v="32"/>
    <x v="5"/>
    <s v=" High "/>
    <s v=" Customer refused hard credit pull citing pending house purchase; deal continued via prebuy path, forgoing the $500 credit-gated promo."/>
    <s v="4F"/>
    <x v="5"/>
    <s v="006Rg00000aN0HAIA0"/>
    <x v="1"/>
  </r>
  <r>
    <n v="6"/>
    <s v="006Rg00000aNApyIAG "/>
    <m/>
    <s v=" 4A "/>
    <s v=" Yes "/>
    <x v="2"/>
    <x v="1"/>
    <s v=" High "/>
    <s v=" Rep quoted $2.16 variable / $2.31 fixed; customer said &quot;that's more than i'm paying right now&quot; and ended the call with &quot;I can beat that though thank you bye.&quot;"/>
    <s v="4A"/>
    <x v="2"/>
    <s v="006Rg00000aNApyIAG"/>
    <x v="0"/>
  </r>
  <r>
    <n v="6"/>
    <s v="006Rg00000aNDavIAG "/>
    <m/>
    <s v=" 4C "/>
    <s v=" — "/>
    <x v="4"/>
    <x v="2"/>
    <s v=" High "/>
    <s v=" Customer said &quot;what I don't have from you guys is really the follow on pricing&quot;; rep confirmed variable and everyone differs; customer accepted year-1 lock and continued reviewing."/>
    <s v="4C"/>
    <x v="1"/>
    <s v="006Rg00000aNDavIAG"/>
    <x v="1"/>
  </r>
  <r>
    <n v="6"/>
    <s v="006Rg00000anFCTIA2 "/>
    <m/>
    <s v=" — "/>
    <s v=" — "/>
    <x v="0"/>
    <x v="0"/>
    <s v=" — "/>
    <s v=" —"/>
    <s v="—"/>
    <x v="0"/>
    <s v="006Rg00000anFCTIA2"/>
    <x v="1"/>
  </r>
  <r>
    <n v="6"/>
    <s v="006Rg00000aNH3SIAW "/>
    <m/>
    <s v=" — "/>
    <s v=" — "/>
    <x v="0"/>
    <x v="0"/>
    <s v=" — "/>
    <s v=" —"/>
    <s v="—"/>
    <x v="0"/>
    <s v="006Rg00000aNH3SIAW"/>
    <x v="0"/>
  </r>
  <r>
    <n v="6"/>
    <s v="006Rg00000any4jIAA "/>
    <m/>
    <s v=" — "/>
    <s v=" — "/>
    <x v="0"/>
    <x v="0"/>
    <s v=" — "/>
    <s v=" —"/>
    <s v="—"/>
    <x v="0"/>
    <s v="006Rg00000any4jIAA"/>
    <x v="0"/>
  </r>
  <r>
    <n v="6"/>
    <s v="006Rg00000aOg8LIAS "/>
    <m/>
    <s v=" — "/>
    <s v=" — "/>
    <x v="0"/>
    <x v="0"/>
    <s v=" — "/>
    <s v=" —"/>
    <s v="—"/>
    <x v="0"/>
    <s v="006Rg00000aOg8LIAS"/>
    <x v="1"/>
  </r>
  <r>
    <n v="6"/>
    <s v="006Rg00000aOrBMIA0 "/>
    <m/>
    <s v=" — "/>
    <s v=" — "/>
    <x v="0"/>
    <x v="0"/>
    <s v=" — "/>
    <s v=" —"/>
    <s v="—"/>
    <x v="0"/>
    <s v="006Rg00000aOrBMIA0"/>
    <x v="1"/>
  </r>
  <r>
    <n v="6"/>
    <s v="006Rg00000aOsH3IAK "/>
    <m/>
    <s v=" 4F "/>
    <s v=" — "/>
    <x v="33"/>
    <x v="2"/>
    <s v=" High "/>
    <s v=" Customer noted promo ends end of April; deferred because &quot;I have quite a bit of propane&quot; and would &quot;file this card until the tank is down&quot; — competing cause was own inventory."/>
    <s v="4F"/>
    <x v="5"/>
    <s v="006Rg00000aOsH3IAK"/>
    <x v="0"/>
  </r>
  <r>
    <n v="6"/>
    <s v="006Rg00000aP0zOIAS "/>
    <m/>
    <s v=" — "/>
    <s v=" — "/>
    <x v="0"/>
    <x v="0"/>
    <s v=" — "/>
    <s v=" —"/>
    <s v="—"/>
    <x v="0"/>
    <s v="006Rg00000aP0zOIAS"/>
    <x v="0"/>
  </r>
  <r>
    <n v="6"/>
    <s v="006Rg00000aP7CuIAK "/>
    <m/>
    <s v=" 4E "/>
    <s v=" Yes "/>
    <x v="13"/>
    <x v="1"/>
    <s v=" High "/>
    <s v=" Customer needed 48-gallon (200 lb) tank per campground rule; rep confirmed smallest available is [MASKED]-gallon; customer ended call on that basis."/>
    <s v="4E"/>
    <x v="6"/>
    <s v="006Rg00000aP7CuIAK"/>
    <x v="0"/>
  </r>
  <r>
    <n v="14"/>
    <s v="006Rg00000bbIFCIA2 "/>
    <s v=" 2.10/gal "/>
    <s v=" 4D "/>
    <s v=" Yes "/>
    <x v="9"/>
    <x v="1"/>
    <s v=" High "/>
    <s v=" Rep stated email is required to receive service; customer has no email and no smartphone (&quot;flip phone&quot;), cannot sign DocuSign; disengaged saying he would call back."/>
    <s v="4D"/>
    <x v="4"/>
    <s v="006Rg00000bbIFCIA2"/>
    <x v="0"/>
  </r>
  <r>
    <n v="14"/>
    <s v="006Rg00000bbiROIAY "/>
    <s v=" 2.55/gal "/>
    <s v=" — "/>
    <s v=" — "/>
    <x v="0"/>
    <x v="0"/>
    <s v=" — "/>
    <s v=" —"/>
    <s v="—"/>
    <x v="0"/>
    <s v="006Rg00000bbiROIAY"/>
    <x v="1"/>
  </r>
  <r>
    <n v="14"/>
    <s v="006Rg00000bbjwvIAA "/>
    <s v=" 2.89F/2.74V/gal "/>
    <s v=" — "/>
    <s v=" — "/>
    <x v="0"/>
    <x v="0"/>
    <s v=" — "/>
    <s v=" —"/>
    <s v="—"/>
    <x v="0"/>
    <s v="006Rg00000bbjwvIAA"/>
    <x v="0"/>
  </r>
  <r>
    <n v="14"/>
    <s v="006Rg00000bBl1WIAS "/>
    <s v=" 4.69/gal "/>
    <s v=" — "/>
    <s v=" — "/>
    <x v="0"/>
    <x v="0"/>
    <s v=" — "/>
    <s v=" —"/>
    <s v="—"/>
    <x v="0"/>
    <s v="006Rg00000bBl1WIAS"/>
    <x v="0"/>
  </r>
  <r>
    <n v="14"/>
    <s v="006Rg00000bBnPuIAK "/>
    <s v=" 1.59/1.73/gal "/>
    <s v=" — "/>
    <s v=" — "/>
    <x v="0"/>
    <x v="0"/>
    <s v=" — "/>
    <s v=" —"/>
    <s v="—"/>
    <x v="0"/>
    <s v="006Rg00000bBnPuIAK"/>
    <x v="0"/>
  </r>
  <r>
    <n v="14"/>
    <s v="006Rg00000bBnuYIAS "/>
    <s v=" 2.27/gal "/>
    <s v=" — "/>
    <s v=" — "/>
    <x v="0"/>
    <x v="0"/>
    <s v=" — "/>
    <s v=" —"/>
    <s v="—"/>
    <x v="0"/>
    <s v="006Rg00000bBnuYIAS"/>
    <x v="1"/>
  </r>
  <r>
    <n v="14"/>
    <s v="006Rg00000bC1kdIAC "/>
    <s v=" — "/>
    <s v=" — "/>
    <s v=" — "/>
    <x v="0"/>
    <x v="0"/>
    <s v=" — "/>
    <s v=" —"/>
    <s v="—"/>
    <x v="0"/>
    <s v="006Rg00000bC1kdIAC"/>
    <x v="0"/>
  </r>
  <r>
    <n v="14"/>
    <s v="006Rg00000bC3b8IAC "/>
    <s v=" — "/>
    <s v=" — "/>
    <s v=" — "/>
    <x v="0"/>
    <x v="0"/>
    <s v=" — "/>
    <s v=" —"/>
    <s v="—"/>
    <x v="0"/>
    <s v="006Rg00000bC3b8IAC"/>
    <x v="1"/>
  </r>
  <r>
    <n v="14"/>
    <s v="006Rg00000bC5oGIAS "/>
    <s v=" 2.02/gal "/>
    <s v=" — "/>
    <s v=" — "/>
    <x v="0"/>
    <x v="0"/>
    <s v=" — "/>
    <s v=" —"/>
    <s v="—"/>
    <x v="0"/>
    <s v="006Rg00000bC5oGIAS"/>
    <x v="1"/>
  </r>
  <r>
    <n v="14"/>
    <s v="006Rg00000bCTH3IAO "/>
    <s v=" 1.43V/1.58F/gal "/>
    <s v=" — "/>
    <s v=" — "/>
    <x v="0"/>
    <x v="0"/>
    <s v=" — "/>
    <s v=" —"/>
    <s v="—"/>
    <x v="0"/>
    <s v="006Rg00000bCTH3IAO"/>
    <x v="1"/>
  </r>
  <r>
    <n v="14"/>
    <s v="006Rg00000bD9hhIAC "/>
    <s v=" 2.24 ? 2.27/gal "/>
    <s v=" — "/>
    <s v=" — "/>
    <x v="0"/>
    <x v="0"/>
    <s v=" — "/>
    <s v=" —"/>
    <s v="—"/>
    <x v="0"/>
    <s v="006Rg00000bD9hhIAC"/>
    <x v="1"/>
  </r>
  <r>
    <n v="14"/>
    <s v="006Rg00000bde0HIAQ "/>
    <s v=" 1.86/gal "/>
    <s v=" — "/>
    <s v=" — "/>
    <x v="0"/>
    <x v="0"/>
    <s v=" — "/>
    <s v=" —"/>
    <s v="—"/>
    <x v="0"/>
    <s v="006Rg00000bde0HIAQ"/>
    <x v="0"/>
  </r>
  <r>
    <n v="14"/>
    <s v="006Rg00000bDPuXIAW "/>
    <s v=" 2.17 ? 2.12/gal "/>
    <s v=" 4E "/>
    <s v=" Yes "/>
    <x v="16"/>
    <x v="5"/>
    <s v=" Medium "/>
    <s v=" Customer conditioned deal on install speed vs. Suburban's ~10-day window (&quot;stick with them&quot; if they're faster); rep quoted ~7 days and escalated to service for cancellations to preserve the opportunity."/>
    <s v="4E"/>
    <x v="6"/>
    <s v="006Rg00000bDPuXIAW"/>
    <x v="0"/>
  </r>
  <r>
    <n v="14"/>
    <s v="006Rg00000bdV9uIAE "/>
    <s v=" 1.99/gal "/>
    <s v=" — "/>
    <s v=" — "/>
    <x v="0"/>
    <x v="0"/>
    <s v=" — "/>
    <s v=" —"/>
    <s v="—"/>
    <x v="0"/>
    <s v="006Rg00000bdV9uIAE"/>
    <x v="0"/>
  </r>
  <r>
    <n v="15"/>
    <s v="006Rg00000be9SIIAY "/>
    <s v=" 2.09V/2.24F/gal "/>
    <s v=" — "/>
    <s v=" — "/>
    <x v="0"/>
    <x v="0"/>
    <s v=" — "/>
    <s v=" —"/>
    <s v="—"/>
    <x v="0"/>
    <s v="006Rg00000be9SIIAY"/>
    <x v="0"/>
  </r>
  <r>
    <n v="15"/>
    <s v="006Rg00000bEbqXIAS "/>
    <s v=" — "/>
    <s v=" 4B "/>
    <s v=" Yes "/>
    <x v="34"/>
    <x v="1"/>
    <s v=" High "/>
    <s v=" Customer pushed back on $299 install and $69.99/yr rental combined: &quot;I might have to put it on hold I didn't know it's gonna be that much money&quot;; opted to move existing tanks instead"/>
    <s v="4B"/>
    <x v="3"/>
    <s v="006Rg00000bEbqXIAS"/>
    <x v="0"/>
  </r>
  <r>
    <n v="15"/>
    <s v="006Rg00000bebwYIAQ "/>
    <s v=" 1.83/gal "/>
    <s v=" 4C "/>
    <s v=" — "/>
    <x v="35"/>
    <x v="2"/>
    <s v=" Medium "/>
    <s v=" Customer wants 100-gal partial fills vs. standard half-tank minimum per delivery; rep to verify with branch, deal pending"/>
    <s v="4C"/>
    <x v="1"/>
    <s v="006Rg00000bebwYIAQ"/>
    <x v="0"/>
  </r>
  <r>
    <n v="15"/>
    <s v="006Rg00000beCUzIAM "/>
    <s v=" 1.78/gal "/>
    <s v=" 4B "/>
    <s v=" Yes "/>
    <x v="22"/>
    <x v="5"/>
    <s v=" High "/>
    <s v=" Customer objected to $99 safety check (&quot;not too interested in a $100 check&quot;); rep escalated and waived fee to preserve opportunity"/>
    <s v="4B"/>
    <x v="3"/>
    <s v="006Rg00000beCUzIAM"/>
    <x v="0"/>
  </r>
  <r>
    <n v="15"/>
    <s v="006Rg00000beD1HIAU "/>
    <s v=" 2.61/gal "/>
    <s v=" 4B "/>
    <s v=" Yes "/>
    <x v="6"/>
    <x v="5"/>
    <s v=" Medium "/>
    <s v=" Customer paused decision explicitly citing install cost: &quot;given the cost of the installation... let me run it by her&quot;"/>
    <s v="4B"/>
    <x v="3"/>
    <s v="006Rg00000beD1HIAU"/>
    <x v="0"/>
  </r>
  <r>
    <n v="15"/>
    <s v="006Rg00000beHfxIAE "/>
    <s v=" — "/>
    <s v=" — "/>
    <s v=" — "/>
    <x v="0"/>
    <x v="0"/>
    <s v=" — "/>
    <s v=" —"/>
    <s v="—"/>
    <x v="0"/>
    <s v="006Rg00000beHfxIAE"/>
    <x v="1"/>
  </r>
  <r>
    <n v="15"/>
    <s v="006Rg00000beos3IAA "/>
    <s v=" 2.79 ? 2.74/gal "/>
    <s v=" 4B "/>
    <s v=" — "/>
    <x v="36"/>
    <x v="2"/>
    <s v=" Medium "/>
    <s v=" 25 gal/yr stove usage vs. 125-gal MUC threshold triggers $190 MUC + $70 rental; customer signed 3-yr agreement, plans to source own tank later to avoid"/>
    <s v="4B"/>
    <x v="3"/>
    <s v="006Rg00000beos3IAA"/>
    <x v="1"/>
  </r>
  <r>
    <n v="15"/>
    <s v="006Rg00000beQbBIAU "/>
    <s v=" 1.82/gal "/>
    <s v=" — "/>
    <s v=" — "/>
    <x v="0"/>
    <x v="0"/>
    <s v=" — "/>
    <s v=" —"/>
    <s v="—"/>
    <x v="0"/>
    <s v="006Rg00000beQbBIAU"/>
    <x v="0"/>
  </r>
  <r>
    <n v="15"/>
    <s v="006Rg00000bEs1eIAC "/>
    <s v=" — "/>
    <s v=" — "/>
    <s v=" — "/>
    <x v="0"/>
    <x v="0"/>
    <s v=" — "/>
    <s v=" —"/>
    <s v="—"/>
    <x v="0"/>
    <s v="006Rg00000bEs1eIAC"/>
    <x v="0"/>
  </r>
  <r>
    <n v="15"/>
    <s v="006Rg00000beUlFIAU "/>
    <s v=" 1.58V/1.73F/gal "/>
    <s v=" — "/>
    <s v=" — "/>
    <x v="0"/>
    <x v="0"/>
    <s v=" — "/>
    <s v=" —"/>
    <s v="—"/>
    <x v="0"/>
    <s v="006Rg00000beUlFIAU"/>
    <x v="0"/>
  </r>
  <r>
    <n v="15"/>
    <s v="006Rg00000bF0NOIA0 "/>
    <s v=" — "/>
    <s v=" — "/>
    <s v=" — "/>
    <x v="0"/>
    <x v="0"/>
    <s v=" — "/>
    <s v=" —"/>
    <s v="—"/>
    <x v="0"/>
    <s v="006Rg00000bF0NOIA0"/>
    <x v="0"/>
  </r>
  <r>
    <n v="15"/>
    <s v="006Rg00000bf1FlIAI "/>
    <s v=" 2.50 ? 1.64/gal "/>
    <s v=" 4A "/>
    <s v=" — "/>
    <x v="24"/>
    <x v="2"/>
    <s v=" Medium "/>
    <s v=" Customer reacted to initial $2.50 quote (&quot;I thought it sounded a little high&quot;); rep proactively honored existing $1.64 rate; customer accepted and proceeded"/>
    <s v="4A"/>
    <x v="2"/>
    <s v="006Rg00000bf1FlIAI"/>
    <x v="1"/>
  </r>
  <r>
    <n v="15"/>
    <s v="006Rg00000bf1viIAA "/>
    <s v=" — "/>
    <s v=" — "/>
    <s v=" — "/>
    <x v="0"/>
    <x v="0"/>
    <s v=" — "/>
    <s v=" —"/>
    <s v="—"/>
    <x v="0"/>
    <s v="006Rg00000bf1viIAA"/>
    <x v="1"/>
  </r>
  <r>
    <n v="15"/>
    <s v="006Rg00000bF2CLIA0 "/>
    <s v=" 4.74/gal "/>
    <s v=" — "/>
    <s v=" — "/>
    <x v="0"/>
    <x v="0"/>
    <s v=" — "/>
    <s v=" —"/>
    <s v="—"/>
    <x v="0"/>
    <s v="006Rg00000bF2CLIA0"/>
    <x v="1"/>
  </r>
  <r>
    <n v="15"/>
    <s v="006Rg00000bF2KQIA0 "/>
    <s v=" — "/>
    <s v=" — "/>
    <s v=" — "/>
    <x v="0"/>
    <x v="0"/>
    <s v=" — "/>
    <s v=" —"/>
    <s v="—"/>
    <x v="0"/>
    <s v="006Rg00000bF2KQIA0"/>
    <x v="0"/>
  </r>
  <r>
    <n v="15"/>
    <s v="006Rg00000bF3hpIAC "/>
    <s v=" — "/>
    <s v=" — "/>
    <s v=" — "/>
    <x v="0"/>
    <x v="0"/>
    <s v=" — "/>
    <s v=" —"/>
    <s v="—"/>
    <x v="0"/>
    <s v="006Rg00000bF3hpIAC"/>
    <x v="0"/>
  </r>
  <r>
    <n v="15"/>
    <s v="006Rg00000bF3ptIAC "/>
    <s v=" — "/>
    <s v=" — "/>
    <s v=" — "/>
    <x v="0"/>
    <x v="0"/>
    <s v=" — "/>
    <s v=" —"/>
    <s v="—"/>
    <x v="0"/>
    <s v="006Rg00000bF3ptIAC"/>
    <x v="1"/>
  </r>
  <r>
    <n v="16"/>
    <s v="006Rg00000bF5zmIAC "/>
    <s v=" 2.02V/2.16F "/>
    <s v=" — "/>
    <s v=" — "/>
    <x v="0"/>
    <x v="0"/>
    <s v=" — "/>
    <s v=" —"/>
    <s v="—"/>
    <x v="0"/>
    <s v="006Rg00000bF5zmIAC"/>
    <x v="0"/>
  </r>
  <r>
    <n v="16"/>
    <s v="006Rg00000bf8qnIAA "/>
    <s v=" 3.65/gal "/>
    <s v=" — "/>
    <s v=" — "/>
    <x v="0"/>
    <x v="0"/>
    <s v=" — "/>
    <s v=" —"/>
    <s v="—"/>
    <x v="0"/>
    <s v="006Rg00000bf8qnIAA"/>
    <x v="1"/>
  </r>
  <r>
    <n v="16"/>
    <s v="006Rg00000bFoNOIA0 "/>
    <s v=" 2.25/gal "/>
    <s v=" — "/>
    <s v=" — "/>
    <x v="0"/>
    <x v="0"/>
    <s v=" — "/>
    <s v=" —"/>
    <s v="—"/>
    <x v="0"/>
    <s v="006Rg00000bFoNOIA0"/>
    <x v="0"/>
  </r>
  <r>
    <n v="16"/>
    <s v="006Rg00000bFsahIAC "/>
    <s v=" 2.21/gal "/>
    <s v=" — "/>
    <s v=" — "/>
    <x v="0"/>
    <x v="0"/>
    <s v=" — "/>
    <s v=" —"/>
    <s v="—"/>
    <x v="0"/>
    <s v="006Rg00000bFsahIAC"/>
    <x v="1"/>
  </r>
  <r>
    <n v="16"/>
    <s v="006Rg00000bfTvBIAU "/>
    <s v=" — "/>
    <s v=" — "/>
    <s v=" — "/>
    <x v="0"/>
    <x v="0"/>
    <s v=" — "/>
    <s v=" —"/>
    <s v="—"/>
    <x v="0"/>
    <s v="006Rg00000bfTvBIAU"/>
    <x v="0"/>
  </r>
  <r>
    <n v="16"/>
    <s v="006Rg00000bFU0TIAW "/>
    <s v=" 2.16/gal "/>
    <s v=" 4B "/>
    <s v=" — "/>
    <x v="11"/>
    <x v="2"/>
    <s v=" Medium "/>
    <s v=" Customer called 120-gal MUC &quot;insane&quot; and probed for smaller-tank workaround, but self-reassured on usage and signed with no concession."/>
    <s v="4B"/>
    <x v="3"/>
    <s v="006Rg00000bFU0TIAW"/>
    <x v="1"/>
  </r>
  <r>
    <n v="16"/>
    <s v="006Rg00000bFxKDIA0 "/>
    <s v=" — "/>
    <s v=" 4E "/>
    <s v=" — "/>
    <x v="13"/>
    <x v="2"/>
    <s v=" Medium "/>
    <s v=" Customer wants 100 lb cook-stove tank; rep says &quot;we no longer carry those…might still have something in inventory,&quot; pending service confirmation."/>
    <s v="4E"/>
    <x v="6"/>
    <s v="006Rg00000bFxKDIA0"/>
    <x v="1"/>
  </r>
  <r>
    <n v="16"/>
    <s v="006Rg00000bFxKDIA0 "/>
    <s v=" — "/>
    <s v=" 4B "/>
    <s v=" — "/>
    <x v="7"/>
    <x v="2"/>
    <s v=" Medium "/>
    <s v=" Customer states he was &quot;told there would not be any tank rental&quot;; rep replies &quot;typically there is a tank rental for the cook stove tanks,&quot; left pending confirmation."/>
    <s v="4B"/>
    <x v="3"/>
    <s v="006Rg00000bFxKDIA0"/>
    <x v="1"/>
  </r>
  <r>
    <n v="16"/>
    <s v="006Rg00000bfXynIAE "/>
    <s v=" 2.46/gal "/>
    <s v=" — "/>
    <s v=" — "/>
    <x v="0"/>
    <x v="0"/>
    <s v=" — "/>
    <s v=" —"/>
    <s v="—"/>
    <x v="0"/>
    <s v="006Rg00000bfXynIAE"/>
    <x v="1"/>
  </r>
  <r>
    <n v="16"/>
    <s v="006Rg00000bFy6cIAC "/>
    <s v=" 3.33/gal "/>
    <s v=" 4B "/>
    <s v=" Yes "/>
    <x v="6"/>
    <x v="1"/>
    <s v=" Medium "/>
    <s v=" Customer pushed back on $300 install (&quot;no equipment needed…isn't that just a flat rate&quot;) and disengaged with &quot;I'll call around, price soon.&quot;"/>
    <s v="4B"/>
    <x v="3"/>
    <s v="006Rg00000bFy6cIAC"/>
    <x v="0"/>
  </r>
  <r>
    <n v="16"/>
    <s v="006Rg00000bG5BKIA0 "/>
    <s v=" 2.04/2.06/gal "/>
    <s v=" — "/>
    <s v=" — "/>
    <x v="0"/>
    <x v="0"/>
    <s v=" — "/>
    <s v=" Underground-tank access controlled by prior supplier (third-party); non-offer, not coded in this module."/>
    <s v="—"/>
    <x v="0"/>
    <s v="006Rg00000bG5BKIA0"/>
    <x v="0"/>
  </r>
  <r>
    <n v="16"/>
    <s v="006Rg00000bGLCrIAO "/>
    <s v=" — "/>
    <s v=" — "/>
    <s v=" — "/>
    <x v="0"/>
    <x v="0"/>
    <s v=" — "/>
    <s v=" Follow-up on prior quote; customer tied up, no candidate issue surfaced this segment."/>
    <s v="—"/>
    <x v="0"/>
    <s v="006Rg00000bGLCrIAO"/>
    <x v="1"/>
  </r>
  <r>
    <n v="16"/>
    <s v="006Rg00000bGMaLIAW "/>
    <s v=" 1.73/gal "/>
    <s v=" 4B "/>
    <s v=" Yes "/>
    <x v="22"/>
    <x v="5"/>
    <s v=" High "/>
    <s v=" Customer asked for waiver of $99 safety-check fee; rep escalated and confirmed &quot;we can waive the safety check fee,&quot; account then finalized."/>
    <s v="4B"/>
    <x v="3"/>
    <s v="006Rg00000bGMaLIAW"/>
    <x v="1"/>
  </r>
  <r>
    <n v="16"/>
    <s v="006Rg00000bGMgnIAG "/>
    <s v=" 1.92/gal "/>
    <s v=" — "/>
    <s v=" — "/>
    <x v="0"/>
    <x v="0"/>
    <s v=" — "/>
    <s v=" —"/>
    <s v="—"/>
    <x v="0"/>
    <s v="006Rg00000bGMgnIAG"/>
    <x v="1"/>
  </r>
  <r>
    <n v="16"/>
    <s v="006Rg00000bGOFZIA4 "/>
    <s v=" 1.79/2.50/gal "/>
    <s v=" — "/>
    <s v=" — "/>
    <x v="0"/>
    <x v="0"/>
    <s v=" — "/>
    <s v=" —"/>
    <s v="—"/>
    <x v="0"/>
    <s v="006Rg00000bGOFZIA4"/>
    <x v="0"/>
  </r>
  <r>
    <n v="16"/>
    <s v="006Rg00000bgr93IAA "/>
    <s v=" 2.25V/2.39F "/>
    <s v=" 4D "/>
    <s v=" Yes "/>
    <x v="19"/>
    <x v="5"/>
    <s v=" High "/>
    <s v=" Customer read $250 termination + $250 tank-removal fees, exclaimed &quot;What the hell is this? No wonder!&quot; and halted signing to review contract in detail."/>
    <s v="4D"/>
    <x v="4"/>
    <s v="006Rg00000bgr93IAA"/>
    <x v="0"/>
  </r>
  <r>
    <n v="16"/>
    <s v="006Rg00000bh3F3IAI "/>
    <s v=" — "/>
    <s v=" — "/>
    <s v=" — "/>
    <x v="0"/>
    <x v="0"/>
    <s v=" — "/>
    <s v=" Pre-quote inquiry; existing on-site tank belongs to prior owner/other supplier (third-party control) — non-offer, not coded in this module."/>
    <s v="—"/>
    <x v="0"/>
    <s v="006Rg00000bh3F3IAI"/>
    <x v="0"/>
  </r>
  <r>
    <n v="16"/>
    <s v="006Rg00000bh4vvIAA "/>
    <s v=" 2.12/gal "/>
    <s v=" — "/>
    <s v=" — "/>
    <x v="0"/>
    <x v="0"/>
    <s v=" — "/>
    <s v=" Rep-proactive waivers ($49 fixed-rate fee, $300 install, tank rental, monitor fee) absorbed without customer pushback; customer signed."/>
    <s v="—"/>
    <x v="0"/>
    <s v="006Rg00000bh4vvIAA"/>
    <x v="1"/>
  </r>
  <r>
    <n v="16"/>
    <s v="006Rg00000bh18QIAQ "/>
    <s v=" — "/>
    <s v=" — "/>
    <s v=" — "/>
    <x v="0"/>
    <x v="0"/>
    <s v=" — "/>
    <s v=" Segments are transfer/callback traffic only; substantive offer discussion occurred outside these segments."/>
    <s v="—"/>
    <x v="0"/>
    <s v="006Rg00000bh18QIAQ"/>
    <x v="1"/>
  </r>
  <r>
    <n v="16"/>
    <s v="006Rg00000bhHExIAM "/>
    <s v=" 2.20/gal "/>
    <s v=" 4B "/>
    <s v=" — "/>
    <x v="5"/>
    <x v="2"/>
    <s v=" Medium "/>
    <s v=" Customer stated 25–50 gal/yr usage vs. $70 rental applying under 200 gal; asked but did not object, deferred citing existing full tank/lease (competing external cause blocks latent)."/>
    <s v="4B"/>
    <x v="3"/>
    <s v="006Rg00000bhHExIAM"/>
    <x v="0"/>
  </r>
  <r>
    <n v="16"/>
    <s v="006Rg00000bhYh8IAE "/>
    <s v=" 1.75V/1.89F "/>
    <s v=" 4C "/>
    <s v=" — "/>
    <x v="1"/>
    <x v="2"/>
    <s v=" Medium "/>
    <s v=" Customer asked &quot;do you guys sell tanks?&quot; — rep said &quot;we do not sell tanks&quot; and steered to lease; customer accepted, took docs, agreed to Tuesday follow-up."/>
    <s v="4C"/>
    <x v="1"/>
    <s v="006Rg00000bhYh8IAE"/>
    <x v="0"/>
  </r>
  <r>
    <n v="16"/>
    <s v="006Rg00000bhYh8IAE "/>
    <s v=" 1.75V/1.89F "/>
    <s v=" 4D "/>
    <s v=" — "/>
    <x v="8"/>
    <x v="2"/>
    <s v=" Low "/>
    <s v=" Customer registered mild surprise (&quot;36 months?&quot;) when term disclosed but did not object; proceeded to review docs. Confidence Low ? recorded as mention_only, not assigned."/>
    <s v="4D"/>
    <x v="4"/>
    <s v="006Rg00000bhYh8IAE"/>
    <x v="0"/>
  </r>
  <r>
    <n v="17"/>
    <s v="006Rg00000bI5vCIAS"/>
    <s v=" — "/>
    <s v=" — "/>
    <s v=" — "/>
    <x v="0"/>
    <x v="0"/>
    <s v=" — "/>
    <s v=" —"/>
    <s v="—"/>
    <x v="0"/>
    <s v="006Rg00000bI5vCIAS"/>
    <x v="0"/>
  </r>
  <r>
    <n v="17"/>
    <s v="006Rg00000bIE8tIAG "/>
    <s v=" — "/>
    <s v=" — "/>
    <s v=" — "/>
    <x v="0"/>
    <x v="0"/>
    <s v=" — "/>
    <s v=" —"/>
    <s v="—"/>
    <x v="0"/>
    <s v="006Rg00000bIE8tIAG"/>
    <x v="0"/>
  </r>
  <r>
    <n v="17"/>
    <s v="006Rg00000bIJLSIA4 "/>
    <s v=" — "/>
    <s v=" — "/>
    <s v=" — "/>
    <x v="0"/>
    <x v="0"/>
    <s v=" — "/>
    <s v=" —"/>
    <s v="—"/>
    <x v="0"/>
    <s v="006Rg00000bIJLSIA4"/>
    <x v="1"/>
  </r>
  <r>
    <n v="17"/>
    <s v="006Rg00000bIN47IAG "/>
    <s v=" — "/>
    <s v=" — "/>
    <s v=" — "/>
    <x v="0"/>
    <x v="0"/>
    <s v=" — "/>
    <s v=" —"/>
    <s v="—"/>
    <x v="0"/>
    <s v="006Rg00000bIN47IAG"/>
    <x v="1"/>
  </r>
  <r>
    <n v="17"/>
    <s v="006Rg00000bIoqfIAC "/>
    <s v=" — "/>
    <s v=" — "/>
    <s v=" — "/>
    <x v="0"/>
    <x v="0"/>
    <s v=" — "/>
    <s v=" —"/>
    <s v="—"/>
    <x v="0"/>
    <s v="006Rg00000bIoqfIAC"/>
    <x v="1"/>
  </r>
  <r>
    <n v="17"/>
    <s v="006Rg00000bIvYoIAK "/>
    <s v=" — "/>
    <s v=" — "/>
    <s v=" — "/>
    <x v="0"/>
    <x v="0"/>
    <s v=" — "/>
    <s v=" —"/>
    <s v="—"/>
    <x v="0"/>
    <s v="006Rg00000bIvYoIAK"/>
    <x v="0"/>
  </r>
  <r>
    <n v="17"/>
    <s v="006Rg00000bIYdqIAG "/>
    <s v=" — "/>
    <s v=" — "/>
    <s v=" — "/>
    <x v="0"/>
    <x v="0"/>
    <s v=" — "/>
    <s v=" —"/>
    <s v="—"/>
    <x v="0"/>
    <s v="006Rg00000bIYdqIAG"/>
    <x v="0"/>
  </r>
  <r>
    <n v="17"/>
    <s v="006Rg00000bJ2QcIAK "/>
    <s v=" 2.74/gal "/>
    <s v=" 4B "/>
    <s v=" — "/>
    <x v="37"/>
    <x v="2"/>
    <s v=" Medium "/>
    <s v=" Customer reacted to $1500 install (&quot;$1500 dollars to bring in a tank...plus $70 plus $2.74&quot;) but did not tie it to non-progression; call ended as info-gathering."/>
    <s v="4B"/>
    <x v="3"/>
    <s v="006Rg00000bJ2QcIAK"/>
    <x v="0"/>
  </r>
  <r>
    <n v="17"/>
    <s v="006Rg00000bJB8yIAG "/>
    <s v=" 2.09 ? 2.04/gal "/>
    <s v=" 4D "/>
    <s v=" Yes "/>
    <x v="9"/>
    <x v="5"/>
    <s v=" High "/>
    <s v=" Customer refused credit check (&quot;no reason to do a credit check&quot;) and pushed back on account-creation prerequisite for site visit; deal reduced to inspection-only via supply-agreement workaround."/>
    <s v="4D"/>
    <x v="4"/>
    <s v="006Rg00000bJB8yIAG"/>
    <x v="0"/>
  </r>
  <r>
    <n v="17"/>
    <s v="006Rg00000bJBaMIAW "/>
    <s v=" 1.65V/1.79F "/>
    <s v=" 4D "/>
    <s v=" Yes "/>
    <x v="19"/>
    <x v="5"/>
    <s v=" High "/>
    <s v=" Customer objected to $250 termination fee combined with 1-yr-only fixed-price lock on 3-yr lease; ended undetermined and went shopping."/>
    <s v="4D"/>
    <x v="4"/>
    <s v="006Rg00000bJBaMIAW"/>
    <x v="0"/>
  </r>
  <r>
    <n v="17"/>
    <s v="006Rg00000bJO1JIAW "/>
    <s v=" 2.83/gal "/>
    <s v=" — "/>
    <s v=" — "/>
    <x v="0"/>
    <x v="0"/>
    <s v=" — "/>
    <s v=" —"/>
    <s v="—"/>
    <x v="0"/>
    <s v="006Rg00000bJO1JIAW"/>
    <x v="1"/>
  </r>
  <r>
    <n v="17"/>
    <s v="006Rg00000bJo8gIAC "/>
    <s v=" — "/>
    <s v=" 4E "/>
    <s v=" Yes "/>
    <x v="13"/>
    <x v="1"/>
    <s v=" High "/>
    <s v=" Customer required 100-lb tank; rep confirmed minimum is 120-gal; customer declined and stated intent to buy a 100-lb tank instead."/>
    <s v="4E"/>
    <x v="6"/>
    <s v="006Rg00000bJo8gIAC"/>
    <x v="0"/>
  </r>
  <r>
    <n v="17"/>
    <s v="006Rg00000bJo8gIAC "/>
    <s v=" — "/>
    <s v=" 4B "/>
    <s v=" — "/>
    <x v="5"/>
    <x v="1"/>
    <s v=" High "/>
    <s v=" Rental $69.99/yr + $120 MUC vs customer's stated emergency-only usage made 120-gal option uneconomical; reinforced decline."/>
    <s v="4B"/>
    <x v="3"/>
    <s v="006Rg00000bJo8gIAC"/>
    <x v="0"/>
  </r>
  <r>
    <n v="17"/>
    <s v="006Rg00000bJWIDIA4 "/>
    <s v=" — "/>
    <s v=" — "/>
    <s v=" — "/>
    <x v="0"/>
    <x v="4"/>
    <s v=" Low "/>
    <s v=" Brief transfer call; customer redirected to another rep; no offer content discussed in these segments."/>
    <s v="—"/>
    <x v="0"/>
    <s v="006Rg00000bJWIDIA4"/>
    <x v="1"/>
  </r>
  <r>
    <n v="17"/>
    <s v="006Rg00000bKpM5IAK "/>
    <s v=" 1.849/gal "/>
    <s v=" — "/>
    <s v=" — "/>
    <x v="0"/>
    <x v="0"/>
    <s v=" — "/>
    <s v=" —"/>
    <s v="—"/>
    <x v="0"/>
    <s v="006Rg00000bKpM5IAK"/>
    <x v="1"/>
  </r>
  <r>
    <n v="17"/>
    <s v="006Rg00000bL6GSIA0 "/>
    <s v=" 4.50/gal "/>
    <s v=" 4A "/>
    <s v=" — "/>
    <x v="24"/>
    <x v="2"/>
    <s v=" Medium "/>
    <s v=" Customer heard $4.50/gal, said would &quot;get back to you&quot; while seeking bundled package; no explicit rate objection tied to non-progression."/>
    <s v="4A"/>
    <x v="2"/>
    <s v="006Rg00000bL6GSIA0"/>
    <x v="0"/>
  </r>
  <r>
    <n v="17"/>
    <s v="006Rg00000bL6GSIA0 "/>
    <s v=" 4.50/gal "/>
    <s v=" 4E "/>
    <s v=" Yes "/>
    <x v="21"/>
    <x v="1"/>
    <s v=" High "/>
    <s v=" Customer wanted propane + oil combo; rep confirmed oil department sold off in that area; customer exited to find combined supplier."/>
    <s v="4E"/>
    <x v="6"/>
    <s v="006Rg00000bL6GSIA0"/>
    <x v="0"/>
  </r>
  <r>
    <n v="17"/>
    <s v="006Rg00000bL9UQIA0 "/>
    <s v=" 1.93F/gal "/>
    <s v=" — "/>
    <s v=" — "/>
    <x v="0"/>
    <x v="0"/>
    <s v=" — "/>
    <s v=" —"/>
    <s v="—"/>
    <x v="0"/>
    <s v="006Rg00000bL9UQIA0"/>
    <x v="0"/>
  </r>
  <r>
    <n v="17"/>
    <s v="006Rg00000bLGcNIAW "/>
    <s v=" 2.32/gal "/>
    <s v=" — "/>
    <s v=" — "/>
    <x v="0"/>
    <x v="0"/>
    <s v=" — "/>
    <s v=" —"/>
    <s v="—"/>
    <x v="0"/>
    <s v="006Rg00000bLGcNIAW"/>
    <x v="0"/>
  </r>
  <r>
    <n v="18"/>
    <s v="006Rg00000bLTg2IAG "/>
    <s v=" 1.95/gal "/>
    <s v=" 4C "/>
    <s v=" — "/>
    <x v="8"/>
    <x v="2"/>
    <s v=" Medium "/>
    <s v=" Customer voiced concern about 3-yr contract locking him in if competitor drops rate below Superior; rep replied &quot;everything is negotiable&quot;; customer proceeded to signup."/>
    <s v="4C"/>
    <x v="1"/>
    <s v="006Rg00000bLTg2IAG"/>
    <x v="1"/>
  </r>
  <r>
    <n v="18"/>
    <s v="006Rg00000bLORqIAO "/>
    <s v=" 2.26/gal "/>
    <s v=" — "/>
    <s v=" — "/>
    <x v="0"/>
    <x v="0"/>
    <s v=" — "/>
    <s v=" —"/>
    <s v="—"/>
    <x v="0"/>
    <s v="006Rg00000bLORqIAO"/>
    <x v="0"/>
  </r>
  <r>
    <n v="18"/>
    <s v="006Rg00000bLOurIAG "/>
    <s v=" 2.07/gal "/>
    <s v=" — "/>
    <s v=" — "/>
    <x v="0"/>
    <x v="0"/>
    <s v=" — "/>
    <s v=" —"/>
    <s v="—"/>
    <x v="0"/>
    <s v="006Rg00000bLOurIAG"/>
    <x v="0"/>
  </r>
  <r>
    <n v="18"/>
    <s v="006Rg00000bLRWAIA4 "/>
    <s v=" 1.98/gal "/>
    <s v=" 4E "/>
    <s v=" — "/>
    <x v="21"/>
    <x v="2"/>
    <s v=" Medium "/>
    <s v=" Customer asked if Superior does natural-gas-to-propane appliance conversion; rep said &quot;we don't do that either&quot;; provided contractor names; customer accepted and said &quot;I'm gonna do it, I'm just trying to coordinate.&quot;"/>
    <s v="4E"/>
    <x v="6"/>
    <s v="006Rg00000bLRWAIA4"/>
    <x v="0"/>
  </r>
  <r>
    <n v="18"/>
    <s v="006Rg00000bM1RaIAK "/>
    <s v=" 2.27/gal "/>
    <s v=" 4E "/>
    <s v=" — "/>
    <x v="13"/>
    <x v="2"/>
    <s v=" Medium "/>
    <s v=" Customer asked about filling motor home at cedar creek; rep said &quot;we wouldn't fill a motorhome... have to have a set tank beside it&quot;; customer said &quot;oh really oh my gosh&quot; and proceeded with house and camp tanks."/>
    <s v="4E"/>
    <x v="6"/>
    <s v="006Rg00000bM1RaIAK"/>
    <x v="1"/>
  </r>
  <r>
    <n v="18"/>
    <s v="006Rg00000bM7IUIA0 "/>
    <s v=" — "/>
    <s v=" — "/>
    <s v=" — "/>
    <x v="0"/>
    <x v="0"/>
    <s v=" — "/>
    <s v=" —"/>
    <s v="—"/>
    <x v="0"/>
    <s v="006Rg00000bM7IUIA0"/>
    <x v="0"/>
  </r>
  <r>
    <n v="18"/>
    <s v="006Rg00000bM8b7IAC "/>
    <s v=" 2.33/gal "/>
    <s v=" 4C "/>
    <s v=" — "/>
    <x v="8"/>
    <x v="2"/>
    <s v=" Medium "/>
    <s v=" Customer questioned the 3-yr agreement (&quot;it's a three year agreement&quot;); rep explained rationale (competitive pricing commitment); customer accepted and signed."/>
    <s v="4C"/>
    <x v="1"/>
    <s v="006Rg00000bM8b7IAC"/>
    <x v="0"/>
  </r>
  <r>
    <n v="18"/>
    <s v="006Rg00000bM8b7IAC "/>
    <s v=" 2.33/gal "/>
    <s v=" 4D "/>
    <s v=" — "/>
    <x v="19"/>
    <x v="3"/>
    <s v=" High "/>
    <s v=" Customer feared &quot;$500 fee because you gotta pick up the tank&quot; if she sells; rep read clause showing $250 termination fee falls on change-of-ownership buyer, not her; customer said &quot;Okay&quot; and proceeded."/>
    <s v="4D"/>
    <x v="4"/>
    <s v="006Rg00000bM8b7IAC"/>
    <x v="0"/>
  </r>
  <r>
    <n v="18"/>
    <s v="006Rg00000bM8b7IAC "/>
    <s v=" 2.33/gal "/>
    <s v=" 4F "/>
    <s v=" — "/>
    <x v="18"/>
    <x v="2"/>
    <s v=" Medium "/>
    <s v=" Customer cited neighbor's &quot;$2.15 locked in for three years&quot;; rep confirmed neighbor's arrangement was via loyalty team for a long-standing account and not available today; customer accepted $2.33 and proceeded."/>
    <s v="4F"/>
    <x v="5"/>
    <s v="006Rg00000bM8b7IAC"/>
    <x v="0"/>
  </r>
  <r>
    <n v="18"/>
    <s v="006Rg00000bM84rIAC "/>
    <s v=" — "/>
    <s v=" — "/>
    <s v=" — "/>
    <x v="0"/>
    <x v="0"/>
    <s v=" — "/>
    <s v=" —"/>
    <s v="—"/>
    <x v="0"/>
    <s v="006Rg00000bM84rIAC"/>
    <x v="0"/>
  </r>
  <r>
    <n v="19"/>
    <s v="006Rg00000bNtmUIAS "/>
    <s v=" 1.80/gal "/>
    <s v=" — "/>
    <s v=" — "/>
    <x v="0"/>
    <x v="0"/>
    <s v=" — "/>
    <s v=" —"/>
    <s v="—"/>
    <x v="0"/>
    <s v="006Rg00000bNtmUIAS"/>
    <x v="1"/>
  </r>
  <r>
    <n v="19"/>
    <s v="006Rg00000bO2ONIA0 "/>
    <s v=" 2.264/gal "/>
    <s v=" 4C "/>
    <s v=" — "/>
    <x v="4"/>
    <x v="2"/>
    <s v=" High "/>
    <s v=" Customer questioned &quot;that doesn't sound a lot cheaper than the first option&quot;; rep explained winter volatility; customer chose fixed and proceeded with no concession."/>
    <s v="4C"/>
    <x v="1"/>
    <s v="006Rg00000bO2ONIA0"/>
    <x v="1"/>
  </r>
  <r>
    <n v="19"/>
    <s v="006Rg00000bO5CZIA0 "/>
    <s v=" — "/>
    <s v=" 4E "/>
    <s v=" Yes "/>
    <x v="21"/>
    <x v="1"/>
    <s v=" High "/>
    <s v=" Rep stated Superior cannot fill built-in RV tanks due to truck pressure; follow-up VM confirmed branch not taking new built-in tank service; customer disengaged."/>
    <s v="4E"/>
    <x v="6"/>
    <s v="006Rg00000bO5CZIA0"/>
    <x v="0"/>
  </r>
  <r>
    <n v="19"/>
    <s v="006Rg00000bO7fmIAC "/>
    <s v=" 1.81/gal "/>
    <s v=" 4F "/>
    <s v=" — "/>
    <x v="32"/>
    <x v="2"/>
    <s v=" Medium "/>
    <s v=" $250 credit gated behind auto-delivery + credit approval; customer said &quot;that one won't, work for, me because... credit is not great,&quot; moved to call-in without concession or stall."/>
    <s v="4F"/>
    <x v="5"/>
    <s v="006Rg00000bO7fmIAC"/>
    <x v="1"/>
  </r>
  <r>
    <n v="19"/>
    <s v="006Rg00000bO9eLIAS "/>
    <s v=" 2.229 ? 2.08/gal "/>
    <s v=" 4C "/>
    <s v=" — "/>
    <x v="4"/>
    <x v="2"/>
    <s v=" High "/>
    <s v=" Customer asked &quot;why would it be more for the fixed rate&quot;; rep explained winter pricing risk; customer said &quot;that's what I would go over with&quot;; rate revised down after tank-size correction, fixed chosen."/>
    <s v="4C"/>
    <x v="1"/>
    <s v="006Rg00000bO9eLIAS"/>
    <x v="1"/>
  </r>
  <r>
    <n v="19"/>
    <s v="006Rg00000bOBcwIAG "/>
    <s v=" — "/>
    <s v=" — "/>
    <s v=" — "/>
    <x v="0"/>
    <x v="0"/>
    <s v=" — "/>
    <s v=" —"/>
    <s v="—"/>
    <x v="0"/>
    <s v="006Rg00000bOBcwIAG"/>
    <x v="0"/>
  </r>
  <r>
    <n v="19"/>
    <s v="006Rg00000bObM8IAK "/>
    <s v=" 2.01/gal "/>
    <s v=" — "/>
    <s v=" — "/>
    <x v="0"/>
    <x v="0"/>
    <s v=" — "/>
    <s v=" —"/>
    <s v="—"/>
    <x v="0"/>
    <s v="006Rg00000bObM8IAK"/>
    <x v="0"/>
  </r>
  <r>
    <n v="19"/>
    <s v="006Rg00000bol6TIAQ "/>
    <s v=" — "/>
    <s v=" — "/>
    <s v=" — "/>
    <x v="0"/>
    <x v="0"/>
    <s v=" — "/>
    <s v=" —"/>
    <s v="—"/>
    <x v="0"/>
    <s v="006Rg00000bol6TIAQ"/>
    <x v="1"/>
  </r>
  <r>
    <n v="19"/>
    <s v="006Rg00000bOQTuIAO "/>
    <s v=" 1.91/gal "/>
    <s v=" 4B "/>
    <s v=" — "/>
    <x v="7"/>
    <x v="2"/>
    <s v=" High "/>
    <s v=" Customer reacted to $35.99/mo tank rental — &quot;wow it's like four hundred bucks a year. No.&quot; — rep suggested loyalty team could waive when full-time; customer signed with no concession granted."/>
    <s v="4B"/>
    <x v="3"/>
    <s v="006Rg00000bOQTuIAO"/>
    <x v="0"/>
  </r>
  <r>
    <n v="19"/>
    <s v="006Rg00000boSiAIAU "/>
    <s v=" 2.43/gal "/>
    <s v=" — "/>
    <s v=" — "/>
    <x v="0"/>
    <x v="0"/>
    <s v=" — "/>
    <s v=" —"/>
    <s v="—"/>
    <x v="0"/>
    <s v="006Rg00000boSiAIAU"/>
    <x v="0"/>
  </r>
  <r>
    <n v="19"/>
    <s v="006Rg00000bOSlrIAG "/>
    <s v=" — "/>
    <s v=" — "/>
    <s v=" — "/>
    <x v="0"/>
    <x v="0"/>
    <s v=" — "/>
    <s v=" —"/>
    <s v="—"/>
    <x v="0"/>
    <s v="006Rg00000bOSlrIAG"/>
    <x v="0"/>
  </r>
  <r>
    <n v="19"/>
    <s v="006Rg00000botNNIAY "/>
    <s v=" 2.43/gal "/>
    <s v=" — "/>
    <s v=" — "/>
    <x v="0"/>
    <x v="0"/>
    <s v=" — "/>
    <s v=" —"/>
    <s v="—"/>
    <x v="0"/>
    <s v="006Rg00000botNNIAY"/>
    <x v="0"/>
  </r>
  <r>
    <n v="20"/>
    <s v="006Rg00000bOtZ7IAK "/>
    <s v=" 1.79 ? 1.64/gal "/>
    <s v=" 4A "/>
    <s v=" — "/>
    <x v="2"/>
    <x v="2"/>
    <s v=" Medium "/>
    <s v=" Customer cited MX Fuels at 2.39/gal last year; rep quoted 1.79 then improved to 1.64 in later call; customer signed without demanding concession."/>
    <s v="4A"/>
    <x v="2"/>
    <s v="006Rg00000bOtZ7IAK"/>
    <x v="0"/>
  </r>
  <r>
    <n v="20"/>
    <s v="006Rg00000bOv9VIAS "/>
    <s v=" 2.27/gal "/>
    <s v=" — "/>
    <s v=" — "/>
    <x v="0"/>
    <x v="0"/>
    <s v=" — "/>
    <s v=" —"/>
    <s v="—"/>
    <x v="0"/>
    <s v="006Rg00000bOv9VIAS"/>
    <x v="0"/>
  </r>
  <r>
    <n v="20"/>
    <s v="006Rg00000bowTJIAY "/>
    <s v=" 2.05V/2.20F/gal "/>
    <s v=" 4D "/>
    <s v=" — "/>
    <x v="25"/>
    <x v="3"/>
    <s v=" Medium "/>
    <s v=" Customer said &quot;so you're pretty much a COD&quot;; rep corrected that approved credit gives net-30 billing; customer accepted and moved past it."/>
    <s v="4D"/>
    <x v="4"/>
    <s v="006Rg00000bowTJIAY"/>
    <x v="0"/>
  </r>
  <r>
    <n v="20"/>
    <s v="006Rg00000boZjdIAE "/>
    <s v=" 2.08/gal "/>
    <s v=" 4C "/>
    <s v=" — "/>
    <x v="1"/>
    <x v="2"/>
    <s v=" Medium "/>
    <s v=" Customer wanted to own a 120-gal tank; rep confirmed Superior does not sell 120-gal tanks; customer proceeded to explore lease terms and check permit."/>
    <s v="4C"/>
    <x v="1"/>
    <s v="006Rg00000boZjdIAE"/>
    <x v="0"/>
  </r>
  <r>
    <n v="20"/>
    <s v="006Rg00000bp2iRIAQ "/>
    <s v=" — "/>
    <s v=" — "/>
    <s v=" — "/>
    <x v="0"/>
    <x v="0"/>
    <s v=" — "/>
    <s v=" —"/>
    <s v="—"/>
    <x v="0"/>
    <s v="006Rg00000bp2iRIAQ"/>
    <x v="1"/>
  </r>
  <r>
    <n v="20"/>
    <s v="006Rg00000bP6o8IAC "/>
    <s v=" — "/>
    <s v=" 4C "/>
    <s v=" — "/>
    <x v="38"/>
    <x v="3"/>
    <s v=" Medium "/>
    <s v=" Customer feared auto-delivery meant frequent visits; rep clarified auto-fill is once/year check; customer accepted call-in with 29.90 delivery fee."/>
    <s v="4C"/>
    <x v="1"/>
    <s v="006Rg00000bP6o8IAC"/>
    <x v="1"/>
  </r>
  <r>
    <n v="20"/>
    <s v="006Rg00000bpF7lIAE "/>
    <s v=" 2.98/gal "/>
    <s v=" 4B "/>
    <s v=" Yes "/>
    <x v="36"/>
    <x v="5"/>
    <s v=" Medium "/>
    <s v=" Cook-only customer uses ~25 gal/yr; 120-gal tank MUC threshold 125 gal/yr plus 69.99 rental structurally uneconomical; rep suggested portable cylinder alternative."/>
    <s v="4B"/>
    <x v="3"/>
    <s v="006Rg00000bpF7lIAE"/>
    <x v="0"/>
  </r>
  <r>
    <n v="20"/>
    <s v="006Rg00000bpJMfIAM "/>
    <s v=" 2.31F/2.44V/gal "/>
    <s v=" 4A "/>
    <s v=" — "/>
    <x v="3"/>
    <x v="2"/>
    <s v=" Medium "/>
    <s v=" Customer noted variable rate exceeded fixed (&quot;I don't know why it is showing higher&quot;) — rep explained market; customer accepted and leaned toward fixed."/>
    <s v="4A"/>
    <x v="2"/>
    <s v="006Rg00000bpJMfIAM"/>
    <x v="0"/>
  </r>
  <r>
    <n v="20"/>
    <s v="006Rg00000bpJMfIAM "/>
    <s v=" 2.31F/2.44V/gal "/>
    <s v=" 4C "/>
    <s v=" — "/>
    <x v="8"/>
    <x v="2"/>
    <s v=" Medium "/>
    <s v=" Rep disclosed three-year agreement; customer responded &quot;yeah, right, for sure&quot; with no pushback or effect on progression."/>
    <s v="4C"/>
    <x v="1"/>
    <s v="006Rg00000bpJMfIAM"/>
    <x v="0"/>
  </r>
  <r>
    <n v="20"/>
    <s v="006Rg00000bpLDBIA2 "/>
    <s v=" 2.62V/2.766F/gal "/>
    <s v=" 4B "/>
    <s v=" — "/>
    <x v="6"/>
    <x v="2"/>
    <s v=" Medium "/>
    <s v=" Customer asked whether $299 install covered &quot;the tank and the blocks and the line run&quot;; rep confirmed; customer moved on to discuss lock-in duration."/>
    <s v="4B"/>
    <x v="3"/>
    <s v="006Rg00000bpLDBIA2"/>
    <x v="0"/>
  </r>
  <r>
    <n v="20"/>
    <s v="006Rg00000bpU5BIAU "/>
    <s v=" 2.61/gal "/>
    <s v=" 4B "/>
    <s v=" — "/>
    <x v="6"/>
    <x v="5"/>
    <s v=" Medium "/>
    <s v=" Customer flagged $299 install as reason for stall: &quot;let me run this by the wife…given the cost of the installation&quot;; deal paused pending spousal review."/>
    <s v="4B"/>
    <x v="3"/>
    <s v="006Rg00000bpU5BIAU"/>
    <x v="0"/>
  </r>
  <r>
    <n v="20"/>
    <s v="006Rg00000bpY7CIAU "/>
    <s v=" — "/>
    <s v=" — "/>
    <s v=" — "/>
    <x v="0"/>
    <x v="0"/>
    <s v=" — "/>
    <s v=" —"/>
    <s v="—"/>
    <x v="0"/>
    <s v="006Rg00000bpY7CIAU"/>
    <x v="1"/>
  </r>
  <r>
    <n v="20"/>
    <s v="006Rg00000bq1SYIAY "/>
    <s v=" 1.73V/1.88F/gal "/>
    <s v=" 4C "/>
    <s v=" — "/>
    <x v="8"/>
    <x v="2"/>
    <s v=" Medium "/>
    <s v=" Rep disclosed three-year supply agreement to hold price; customer reacted &quot;Oh, okay&quot; and proceeded to spousal-review close without objection."/>
    <s v="4C"/>
    <x v="1"/>
    <s v="006Rg00000bq1SYIAY"/>
    <x v="0"/>
  </r>
  <r>
    <n v="20"/>
    <s v="006Rg00000bQcp9IAC "/>
    <s v=" — "/>
    <s v=" — "/>
    <s v=" — "/>
    <x v="0"/>
    <x v="0"/>
    <s v=" — "/>
    <s v=" —"/>
    <s v="—"/>
    <x v="0"/>
    <s v="006Rg00000bQcp9IAC"/>
    <x v="0"/>
  </r>
  <r>
    <n v="20"/>
    <s v="006Rg00000bQcSYIA0 "/>
    <s v=" — "/>
    <s v=" — "/>
    <s v=" — "/>
    <x v="0"/>
    <x v="0"/>
    <s v=" — "/>
    <s v=" —"/>
    <s v="—"/>
    <x v="0"/>
    <s v="006Rg00000bQcSYIA0"/>
    <x v="1"/>
  </r>
  <r>
    <n v="20"/>
    <s v="006Rg00000bruupIAA "/>
    <s v=" 2.08/gal "/>
    <s v=" 4F "/>
    <s v=" — "/>
    <x v="3"/>
    <x v="2"/>
    <s v=" Medium "/>
    <s v=" Customer mentioned Peck Lake group-pricing arrangement expecting a better rate; rep found no special Peck Lake pricing; customer proceeded and signed at standard 2.08/gal."/>
    <s v="4F"/>
    <x v="5"/>
    <s v="006Rg00000bruupIAA"/>
    <x v="1"/>
  </r>
  <r>
    <n v="21"/>
    <s v="006Rg00000brvR4IAI "/>
    <s v=" — "/>
    <s v=" — "/>
    <s v=" — "/>
    <x v="0"/>
    <x v="0"/>
    <s v=" — "/>
    <s v=" —"/>
    <s v="—"/>
    <x v="0"/>
    <s v="006Rg00000brvR4IAI"/>
    <x v="0"/>
  </r>
  <r>
    <n v="21"/>
    <s v="006Rg00000brvVuIAI "/>
    <s v=" — "/>
    <s v=" — "/>
    <s v=" — "/>
    <x v="0"/>
    <x v="0"/>
    <s v=" — "/>
    <s v=" —"/>
    <s v="—"/>
    <x v="0"/>
    <s v="006Rg00000brvVuIAI"/>
    <x v="0"/>
  </r>
  <r>
    <n v="21"/>
    <s v="006Rg00000brxmFIAQ "/>
    <s v=" 2.55 ? 1.699/gal "/>
    <s v=" 4A "/>
    <s v=" Yes "/>
    <x v="39"/>
    <x v="5"/>
    <s v=" High "/>
    <s v=" Customer rejected 2.55 as wrong for her Page Trucking linked account and cited her 1.68 recent fill; rep escalated and revised to 1.699 fixed"/>
    <s v="4A"/>
    <x v="2"/>
    <s v="006Rg00000brxmFIAQ"/>
    <x v="1"/>
  </r>
  <r>
    <n v="21"/>
    <s v="006Rg00000brxmFIAQ "/>
    <s v=" 2.55 ? 1.699/gal "/>
    <s v=" 4B "/>
    <s v=" — "/>
    <x v="7"/>
    <x v="5"/>
    <s v=" Medium "/>
    <s v=" Customer voiced surprise at 69.99 annual rental and invoked her account leverage; district manager waived the rental"/>
    <s v="4B"/>
    <x v="3"/>
    <s v="006Rg00000brxmFIAQ"/>
    <x v="1"/>
  </r>
  <r>
    <n v="21"/>
    <s v="006Rg00000bs0KJIAY "/>
    <s v=" 2.055F/1.91V/gal "/>
    <s v=" 4C "/>
    <s v=" — "/>
    <x v="8"/>
    <x v="2"/>
    <s v=" Medium "/>
    <s v=" Customer voiced hesitancy about 3-year lock (&quot;locks me into you guys&quot;) but accepted rep's ETF/credit-offset explanation without concession"/>
    <s v="4C"/>
    <x v="1"/>
    <s v="006Rg00000bs0KJIAY"/>
    <x v="0"/>
  </r>
  <r>
    <n v="21"/>
    <s v="006Rg00000bsbIDIAY "/>
    <s v=" — "/>
    <s v=" — "/>
    <s v=" — "/>
    <x v="0"/>
    <x v="0"/>
    <s v=" — "/>
    <s v=" —"/>
    <s v="—"/>
    <x v="0"/>
    <s v="006Rg00000bsbIDIAY"/>
    <x v="1"/>
  </r>
  <r>
    <n v="21"/>
    <s v="006Rg00000bsfqUIAQ "/>
    <s v=" — "/>
    <s v=" — "/>
    <s v=" — "/>
    <x v="0"/>
    <x v="0"/>
    <s v=" — "/>
    <s v=" —"/>
    <s v="—"/>
    <x v="0"/>
    <s v="006Rg00000bsfqUIAQ"/>
    <x v="1"/>
  </r>
  <r>
    <n v="21"/>
    <s v="006Rg00000bsjVtIAI "/>
    <s v=" 2.12F/1.97V/gal "/>
    <s v=" 4F "/>
    <s v=" Yes "/>
    <x v="18"/>
    <x v="5"/>
    <s v=" Medium "/>
    <s v=" Customer cited friend Armand's alleged 1.19 locked rate via National Grid employee discount; rep could not locate account or match, call escalated to manager on hold"/>
    <s v="4F"/>
    <x v="5"/>
    <s v="006Rg00000bsjVtIAI"/>
    <x v="1"/>
  </r>
  <r>
    <n v="21"/>
    <s v="006Rg00000bsP5mIAE "/>
    <s v=" — "/>
    <s v=" — "/>
    <s v=" — "/>
    <x v="0"/>
    <x v="0"/>
    <s v=" — "/>
    <s v=" —"/>
    <s v="—"/>
    <x v="0"/>
    <s v="006Rg00000bsP5mIAE"/>
    <x v="0"/>
  </r>
  <r>
    <n v="21"/>
    <s v="006Rg00000bt4VeIAI "/>
    <s v=" — "/>
    <s v=" — "/>
    <s v=" — "/>
    <x v="0"/>
    <x v="0"/>
    <s v=" — "/>
    <s v=" —"/>
    <s v="—"/>
    <x v="0"/>
    <s v="006Rg00000bt4VeIAI"/>
    <x v="0"/>
  </r>
  <r>
    <n v="21"/>
    <s v="006Rg00000bTK68IAG "/>
    <s v=" 1.88/gal "/>
    <s v=" 4D "/>
    <s v=" Yes "/>
    <x v="25"/>
    <x v="1"/>
    <s v=" High "/>
    <s v=" Customer called prepay/credit-check gating on will-call &quot;unheard of&quot;; follow-up confirmed &quot;I'm set up though already&quot; with alternate provider"/>
    <s v="4D"/>
    <x v="4"/>
    <s v="006Rg00000bTK68IAG"/>
    <x v="0"/>
  </r>
  <r>
    <n v="21"/>
    <s v="006Rg00000bTLAEIA4 "/>
    <s v=" 1.77V/1.92F/gal "/>
    <s v=" — "/>
    <s v=" — "/>
    <x v="0"/>
    <x v="0"/>
    <s v=" — "/>
    <s v=" —"/>
    <s v="—"/>
    <x v="0"/>
    <s v="006Rg00000bTLAEIA4"/>
    <x v="0"/>
  </r>
  <r>
    <n v="21"/>
    <s v="006Rg00000bTOXuIAO "/>
    <s v=" — "/>
    <s v=" — "/>
    <s v=" — "/>
    <x v="0"/>
    <x v="0"/>
    <s v=" — "/>
    <s v=" —"/>
    <s v="—"/>
    <x v="0"/>
    <s v="006Rg00000bTOXuIAO"/>
    <x v="0"/>
  </r>
  <r>
    <n v="21"/>
    <s v="006Rg00000bTQZhIAO "/>
    <s v=" 2.44V/2.58F/gal "/>
    <s v=" — "/>
    <s v=" — "/>
    <x v="0"/>
    <x v="0"/>
    <s v=" — "/>
    <s v=" —"/>
    <s v="—"/>
    <x v="0"/>
    <s v="006Rg00000bTQZhIAO"/>
    <x v="1"/>
  </r>
  <r>
    <n v="21"/>
    <s v="006Rg00000btTwvIAE "/>
    <s v=" — "/>
    <s v=" — "/>
    <s v=" — "/>
    <x v="0"/>
    <x v="0"/>
    <s v=" — "/>
    <s v=" —"/>
    <s v="—"/>
    <x v="0"/>
    <s v="006Rg00000btTwvIAE"/>
    <x v="0"/>
  </r>
  <r>
    <n v="21"/>
    <s v="006Rg00000bTUexIAG "/>
    <s v=" 1.94V/2.08F/gal "/>
    <s v=" — "/>
    <s v=" — "/>
    <x v="0"/>
    <x v="0"/>
    <s v=" — "/>
    <s v=" —"/>
    <s v="—"/>
    <x v="0"/>
    <s v="006Rg00000bTUexIAG"/>
    <x v="0"/>
  </r>
  <r>
    <n v="21"/>
    <s v="006Rg00000bTVUYIA4 "/>
    <s v=" 1.95/gal "/>
    <s v=" — "/>
    <s v=" — "/>
    <x v="0"/>
    <x v="0"/>
    <s v=" — "/>
    <s v=" —"/>
    <s v="—"/>
    <x v="0"/>
    <s v="006Rg00000bTVUYIA4"/>
    <x v="1"/>
  </r>
  <r>
    <n v="21"/>
    <s v="006Rg00000bTyUwIAK "/>
    <s v=" 1.72V/1.86F/gal "/>
    <s v=" — "/>
    <s v=" — "/>
    <x v="0"/>
    <x v="0"/>
    <s v=" — "/>
    <s v=" —"/>
    <s v="—"/>
    <x v="0"/>
    <s v="006Rg00000bTyUwIAK"/>
    <x v="0"/>
  </r>
  <r>
    <n v="22"/>
    <s v="006Rg00000btZvtIAE "/>
    <s v=" 1.89/gal "/>
    <s v=" 4A "/>
    <s v=" — "/>
    <x v="2"/>
    <x v="2"/>
    <s v=" Medium "/>
    <s v=" Customer volunteered current supplier at $3/gal as reason for shopping; Superior's quote is lower, no barrier to progression."/>
    <s v="4A"/>
    <x v="2"/>
    <s v="006Rg00000btZvtIAE"/>
    <x v="1"/>
  </r>
  <r>
    <n v="22"/>
    <s v="006Rg00000btZvtIAE "/>
    <s v=" 1.89/gal "/>
    <s v=" 4B "/>
    <s v=" Yes "/>
    <x v="22"/>
    <x v="5"/>
    <s v=" High "/>
    <s v=" Customer asked to at least halve the $99 safety inspection fee citing $3/gal current supplier pressure; rep escalated and waived it, deal proceeded."/>
    <s v="4B"/>
    <x v="3"/>
    <s v="006Rg00000btZvtIAE"/>
    <x v="1"/>
  </r>
  <r>
    <n v="22"/>
    <s v="006Rg00000bU2FDIA0 "/>
    <s v=" 1.96/gal "/>
    <s v=" 4B "/>
    <s v=" — "/>
    <x v="34"/>
    <x v="2"/>
    <s v=" Medium "/>
    <s v=" Customer voiced circumstance-based concern about ~$325.80 upfront fee stack tied to pay cycle; rep clarified no payment due at signup, customer signed without concession."/>
    <s v="4B"/>
    <x v="3"/>
    <s v="006Rg00000bU2FDIA0"/>
    <x v="1"/>
  </r>
  <r>
    <n v="22"/>
    <s v="006Rg00000bU7bSIAS "/>
    <s v=" 2.20/gal "/>
    <s v=" 4D "/>
    <s v=" Yes "/>
    <x v="9"/>
    <x v="5"/>
    <s v=" High "/>
    <s v=" Customer stated they don't use email, blocking DocuSign; rep secured workaround by routing agreement to daughter's email, signup completed."/>
    <s v="4D"/>
    <x v="4"/>
    <s v="006Rg00000bU7bSIAS"/>
    <x v="1"/>
  </r>
  <r>
    <n v="22"/>
    <s v="006Rg00000bU7bSIAS "/>
    <s v=" 2.20/gal "/>
    <s v=" 4D "/>
    <s v=" — "/>
    <x v="25"/>
    <x v="2"/>
    <s v=" Medium "/>
    <s v=" Customer preferred cash payment; rep explained drivers don't take cash and invoice would be mailed, customer accepted without concession."/>
    <s v="4D"/>
    <x v="4"/>
    <s v="006Rg00000bU7bSIAS"/>
    <x v="1"/>
  </r>
  <r>
    <n v="22"/>
    <s v="006Rg00000bUavCIAS "/>
    <s v=" — "/>
    <s v=" — "/>
    <s v=" — "/>
    <x v="0"/>
    <x v="0"/>
    <s v=" — "/>
    <s v=" —"/>
    <s v="—"/>
    <x v="0"/>
    <s v="006Rg00000bUavCIAS"/>
    <x v="0"/>
  </r>
  <r>
    <n v="22"/>
    <s v="006Rg00000bUDs9IAG "/>
    <s v=" 1.70/gal "/>
    <s v=" — "/>
    <s v=" — "/>
    <x v="0"/>
    <x v="0"/>
    <s v=" — "/>
    <s v=" —"/>
    <s v="—"/>
    <x v="0"/>
    <s v="006Rg00000bUDs9IAG"/>
    <x v="0"/>
  </r>
  <r>
    <n v="22"/>
    <s v="006Rg00000bUh5RIAS "/>
    <s v=" 1.70/gal "/>
    <s v=" 4A "/>
    <s v=" — "/>
    <x v="2"/>
    <x v="2"/>
    <s v=" Medium "/>
    <s v=" Customer volunteered Suburban rate at ~$4/gal noting Superior's price is &quot;way better&quot;; favorable comparison, no barrier."/>
    <s v="4A"/>
    <x v="2"/>
    <s v="006Rg00000bUh5RIAS"/>
    <x v="0"/>
  </r>
  <r>
    <n v="22"/>
    <s v="006Rg00000bUomtIAC "/>
    <s v=" — "/>
    <s v=" — "/>
    <s v=" — "/>
    <x v="0"/>
    <x v="0"/>
    <s v=" — "/>
    <s v=" —"/>
    <s v="—"/>
    <x v="0"/>
    <s v="006Rg00000bUomtIAC"/>
    <x v="1"/>
  </r>
  <r>
    <n v="22"/>
    <s v="006Rg00000bUrHjIAK "/>
    <s v=" — "/>
    <s v=" — "/>
    <s v=" — "/>
    <x v="0"/>
    <x v="0"/>
    <s v=" — "/>
    <s v=" Customer withdrew citing rep Dean's contradictory/inaccurate statements about contract terms (incl. tank ownership); rep-handling matter, out of scope for this module."/>
    <s v="—"/>
    <x v="0"/>
    <s v="006Rg00000bUrHjIAK"/>
    <x v="0"/>
  </r>
  <r>
    <n v="22"/>
    <s v="006Rg00000bUwyvIAC "/>
    <s v=" 2.63/gal "/>
    <s v=" 4D "/>
    <s v=" — "/>
    <x v="9"/>
    <x v="2"/>
    <s v=" Medium "/>
    <s v=" Customer voiced nervousness disclosing SSN for credit check and hit an Experian freeze; rep offered partial-hit workaround, customer lifted freeze and proceeded."/>
    <s v="4D"/>
    <x v="4"/>
    <s v="006Rg00000bUwyvIAC"/>
    <x v="1"/>
  </r>
  <r>
    <n v="22"/>
    <s v="006Rg00000bUwyvIAC "/>
    <s v=" 2.63/gal "/>
    <s v=" 4B "/>
    <s v=" — "/>
    <x v="7"/>
    <x v="2"/>
    <s v=" Medium "/>
    <s v=" Customer referenced prior competitor's &quot;crazy&quot; annual rental fee as reason for shopping; no pushback on Superior's $40/mo tank rental, signed agreement."/>
    <s v="4B"/>
    <x v="3"/>
    <s v="006Rg00000bUwyvIAC"/>
    <x v="1"/>
  </r>
  <r>
    <n v="22"/>
    <s v="006Rg00000bvmDuIAI "/>
    <s v=" — "/>
    <s v=" — "/>
    <s v=" — "/>
    <x v="0"/>
    <x v="0"/>
    <s v=" — "/>
    <s v=" —"/>
    <s v="—"/>
    <x v="0"/>
    <s v="006Rg00000bvmDuIAI"/>
    <x v="0"/>
  </r>
  <r>
    <n v="23"/>
    <s v="006Rg00000bvMkzIAE "/>
    <s v=" — "/>
    <s v=" — "/>
    <s v=" — "/>
    <x v="0"/>
    <x v="0"/>
    <s v=" — "/>
    <s v=" —"/>
    <s v="—"/>
    <x v="0"/>
    <s v="006Rg00000bvMkzIAE"/>
    <x v="0"/>
  </r>
  <r>
    <n v="23"/>
    <s v="006Rg00000bvQDgIAM "/>
    <s v=" 1.87/2.02/gal "/>
    <s v=" — "/>
    <s v=" — "/>
    <x v="0"/>
    <x v="0"/>
    <s v=" — "/>
    <s v=" —"/>
    <s v="—"/>
    <x v="0"/>
    <s v="006Rg00000bvQDgIAM"/>
    <x v="0"/>
  </r>
  <r>
    <n v="23"/>
    <s v="006Rg00000bVxzPIAS "/>
    <s v=" — "/>
    <s v=" — "/>
    <s v=" — "/>
    <x v="0"/>
    <x v="0"/>
    <s v=" — "/>
    <s v=" —"/>
    <s v="—"/>
    <x v="0"/>
    <s v="006Rg00000bVxzPIAS"/>
    <x v="0"/>
  </r>
  <r>
    <n v="23"/>
    <s v="006Rg00000bvZBqIAM "/>
    <s v=" 1.85/gal "/>
    <s v=" 4B "/>
    <s v=" Yes "/>
    <x v="7"/>
    <x v="5"/>
    <s v=" Medium "/>
    <s v=" Customer questioned whether $99.99 rental would be waived with a delivery; rep applied $250 new-customer credit against first-year rental to move deal forward."/>
    <s v="4B"/>
    <x v="3"/>
    <s v="006Rg00000bvZBqIAM"/>
    <x v="1"/>
  </r>
  <r>
    <n v="23"/>
    <s v="006Rg00000bvzO1IAI "/>
    <s v=" 1.69/gal "/>
    <s v=" — "/>
    <s v=" — "/>
    <x v="0"/>
    <x v="0"/>
    <s v=" — "/>
    <s v=" —"/>
    <s v="—"/>
    <x v="0"/>
    <s v="006Rg00000bvzO1IAI"/>
    <x v="0"/>
  </r>
  <r>
    <n v="23"/>
    <s v="006Rg00000bw3zWIAQ "/>
    <s v=" 1.65/gal "/>
    <s v=" — "/>
    <s v=" — "/>
    <x v="0"/>
    <x v="0"/>
    <s v=" — "/>
    <s v=" —"/>
    <s v="—"/>
    <x v="0"/>
    <s v="006Rg00000bw3zWIAQ"/>
    <x v="1"/>
  </r>
  <r>
    <n v="23"/>
    <s v="006Rg00000bw5hxIAA "/>
    <s v=" 1.70/gal "/>
    <s v=" — "/>
    <s v=" — "/>
    <x v="0"/>
    <x v="0"/>
    <s v=" — "/>
    <s v=" —"/>
    <s v="—"/>
    <x v="0"/>
    <s v="006Rg00000bw5hxIAA"/>
    <x v="0"/>
  </r>
  <r>
    <n v="23"/>
    <s v="006Rg00000bWn6jIAC "/>
    <s v=" 2.xx/gal (masked) "/>
    <s v=" 4B "/>
    <s v=" Yes "/>
    <x v="6"/>
    <x v="1"/>
    <s v=" High "/>
    <s v=" Rep quoted $1,000 install for two generator tanks; customer called it &quot;ridiculous&quot; and ended with &quot;I'll let you know,&quot; no re-engagement in the single segment."/>
    <s v="4B"/>
    <x v="3"/>
    <s v="006Rg00000bWn6jIAC"/>
    <x v="0"/>
  </r>
  <r>
    <n v="23"/>
    <s v="006Rg00000bwUYIIA2 "/>
    <s v=" 1.66/1.80/gal "/>
    <s v=" — "/>
    <s v=" — "/>
    <x v="0"/>
    <x v="0"/>
    <s v=" — "/>
    <s v=" —"/>
    <s v="—"/>
    <x v="0"/>
    <s v="006Rg00000bwUYIIA2"/>
    <x v="0"/>
  </r>
  <r>
    <n v="23"/>
    <s v="006Rg00000bwXERIA2 "/>
    <s v=" — "/>
    <s v=" — "/>
    <s v=" — "/>
    <x v="0"/>
    <x v="0"/>
    <s v=" — "/>
    <s v=" —"/>
    <s v="—"/>
    <x v="0"/>
    <s v="006Rg00000bwXERIA2"/>
    <x v="0"/>
  </r>
  <r>
    <n v="23"/>
    <s v="006Rg00000bWZOlIAO "/>
    <s v=" — "/>
    <s v=" — "/>
    <s v=" — "/>
    <x v="0"/>
    <x v="0"/>
    <s v=" — "/>
    <s v=" —"/>
    <s v="—"/>
    <x v="0"/>
    <s v="006Rg00000bWZOlIAO"/>
    <x v="0"/>
  </r>
  <r>
    <n v="23"/>
    <s v="006Rg00000bX6XZIA0 "/>
    <s v=" 1.70/gal "/>
    <s v=" — "/>
    <s v=" — "/>
    <x v="0"/>
    <x v="0"/>
    <s v=" — "/>
    <s v=" —"/>
    <s v="—"/>
    <x v="0"/>
    <s v="006Rg00000bX6XZIA0"/>
    <x v="1"/>
  </r>
  <r>
    <n v="23"/>
    <s v="006Rg00000bXBnNIAW "/>
    <s v=" 2.44/gal "/>
    <s v=" 4D "/>
    <s v=" — "/>
    <x v="19"/>
    <x v="3"/>
    <s v=" Medium "/>
    <s v=" Customer asked whether signing bound him before install (&quot;if the contractor comes... it doesn't go into effect until the tech is installed right&quot;); rep confirmed fees apply only post-install and customer signed."/>
    <s v="4D"/>
    <x v="4"/>
    <s v="006Rg00000bXBnNIAW"/>
    <x v="1"/>
  </r>
  <r>
    <n v="23"/>
    <s v="006Rg00000bXgzGIAS "/>
    <s v=" 3.495/gal "/>
    <s v=" 4C "/>
    <s v=" — "/>
    <x v="1"/>
    <x v="2"/>
    <s v=" Medium "/>
    <s v=" Customer asked cost to buy tank rather than rent ($39.99/mo); rep stated office no longer sells tanks; customer accepted rental and proceeded to sign."/>
    <s v="4C"/>
    <x v="1"/>
    <s v="006Rg00000bXgzGIAS"/>
    <x v="0"/>
  </r>
  <r>
    <n v="24"/>
    <s v="006Rg00000bXs19IAC "/>
    <s v=" 2.09/gal "/>
    <s v=" 4F "/>
    <s v=" — "/>
    <x v="40"/>
    <x v="2"/>
    <s v=" High "/>
    <s v=" Customer asked to lock in rate; rep said fixed rate ineligible for $500 promo; customer chose floating to keep promo and proceeded."/>
    <s v="4F"/>
    <x v="5"/>
    <s v="006Rg00000bXs19IAC"/>
    <x v="1"/>
  </r>
  <r>
    <n v="24"/>
    <s v="006Rg00000bXtjZIAS "/>
    <s v=" 1.75/gal "/>
    <s v=" 4F "/>
    <s v=" — "/>
    <x v="1"/>
    <x v="2"/>
    <s v=" High "/>
    <s v=" Customer asked &quot;the $500 credit is that only if you lease the tank&quot;; rep confirmed leased-tank only; customer accepted and moved to consider."/>
    <s v="4F"/>
    <x v="5"/>
    <s v="006Rg00000bXtjZIAS"/>
    <x v="0"/>
  </r>
  <r>
    <n v="24"/>
    <s v="006Rg00000by7NwIAI "/>
    <s v=" 2.49/gal "/>
    <s v=" — "/>
    <s v=" — "/>
    <x v="0"/>
    <x v="0"/>
    <s v=" — "/>
    <s v=" —"/>
    <s v="—"/>
    <x v="0"/>
    <s v="006Rg00000by7NwIAI"/>
    <x v="0"/>
  </r>
  <r>
    <n v="24"/>
    <s v="006Rg00000byfFtIAI "/>
    <s v=" 1.419/gal "/>
    <s v=" — "/>
    <s v=" — "/>
    <x v="0"/>
    <x v="0"/>
    <s v=" — "/>
    <s v=" —"/>
    <s v="—"/>
    <x v="0"/>
    <s v="006Rg00000byfFtIAI"/>
    <x v="0"/>
  </r>
  <r>
    <n v="24"/>
    <s v="006Rg00000byjctIAA "/>
    <s v=" 1.73V/1.88F // 1.97 // 1.79/gal "/>
    <s v=" — "/>
    <s v=" — "/>
    <x v="0"/>
    <x v="0"/>
    <s v=" — "/>
    <s v=" —"/>
    <s v="—"/>
    <x v="0"/>
    <s v="006Rg00000byjctIAA"/>
    <x v="0"/>
  </r>
  <r>
    <n v="24"/>
    <s v="006Rg00000byjGYIAY "/>
    <s v=" — "/>
    <s v=" 4C "/>
    <s v=" — "/>
    <x v="15"/>
    <x v="6"/>
    <s v=" Medium "/>
    <s v=" Customer wants pre-buy structure (&quot;I always pre-bought&quot;); rep states residential does not offer pre-buy; referred to commercial rep, undetermined."/>
    <s v="4C"/>
    <x v="1"/>
    <s v="006Rg00000byjGYIAY"/>
    <x v="0"/>
  </r>
  <r>
    <n v="24"/>
    <s v="006Rg00000byJs5IAE "/>
    <s v=" — "/>
    <s v=" 4B "/>
    <s v=" Yes "/>
    <x v="37"/>
    <x v="5"/>
    <s v=" High "/>
    <s v=" Landlord pushed back on $299 install fee (&quot;we never had to pay that... any propane carrier&quot;); rep committed to attempt waiver to preserve setup."/>
    <s v="4B"/>
    <x v="3"/>
    <s v="006Rg00000byJs5IAE"/>
    <x v="0"/>
  </r>
  <r>
    <n v="24"/>
    <s v="006Rg00000byrc1IAA "/>
    <s v=" 1.77V/1.92F/gal "/>
    <s v=" — "/>
    <s v=" — "/>
    <x v="0"/>
    <x v="0"/>
    <s v=" — "/>
    <s v=" —"/>
    <s v="—"/>
    <x v="0"/>
    <s v="006Rg00000byrc1IAA"/>
    <x v="0"/>
  </r>
  <r>
    <n v="24"/>
    <s v="006Rg00000byYr8IAE "/>
    <s v=" 1.68V/1.83F/gal "/>
    <s v=" 4F "/>
    <s v=" — "/>
    <x v="1"/>
    <x v="2"/>
    <s v=" High "/>
    <s v=" Customer saw $500 credit online; rep confirmed leased-tank only; owner-tank customer acknowledged and continued."/>
    <s v="4F"/>
    <x v="5"/>
    <s v="006Rg00000byYr8IAE"/>
    <x v="1"/>
  </r>
  <r>
    <n v="24"/>
    <s v="006Rg00000byYr8IAE "/>
    <s v=" 1.68V/1.83F/gal "/>
    <s v=" 4B "/>
    <s v=" Yes "/>
    <x v="41"/>
    <x v="5"/>
    <s v=" High "/>
    <s v=" Customer said &quot;can you help with waiving that fee? Then we can just sign up today&quot;; rep escalated and waived the $99 safety inspection."/>
    <s v="4B"/>
    <x v="3"/>
    <s v="006Rg00000byYr8IAE"/>
    <x v="1"/>
  </r>
  <r>
    <n v="24"/>
    <s v="006Rg00000bzALKIA2 "/>
    <s v=" 1.84/gal "/>
    <s v=" 4C "/>
    <s v=" — "/>
    <x v="8"/>
    <x v="2"/>
    <s v=" Medium "/>
    <s v=" Rep disclosed three-year agreement; customer said &quot;Oh, okay&quot; and continued questions; ended noncommittal without objecting to term length."/>
    <s v="4C"/>
    <x v="1"/>
    <s v="006Rg00000bzALKIA2"/>
    <x v="0"/>
  </r>
  <r>
    <n v="24"/>
    <s v="006Rg00000bzpmfIAA "/>
    <s v=" 1.77V/1.92F/gal "/>
    <s v=" 4A "/>
    <s v=" Yes "/>
    <x v="2"/>
    <x v="1"/>
    <s v=" High "/>
    <s v=" Customer locked with Heller at $1.69; declined Superior's $1.77 variable, choosing another shopping option over Superior."/>
    <s v="4A"/>
    <x v="2"/>
    <s v="006Rg00000bzpmfIAA"/>
    <x v="0"/>
  </r>
  <r>
    <n v="24"/>
    <s v="006Rg00000c4claIAA "/>
    <s v=" 1.73V/1.87F/gal "/>
    <s v=" — "/>
    <s v=" — "/>
    <x v="0"/>
    <x v="0"/>
    <s v=" — "/>
    <s v=" —"/>
    <s v="—"/>
    <x v="0"/>
    <s v="006Rg00000c4claIAA"/>
    <x v="0"/>
  </r>
  <r>
    <n v="24"/>
    <s v="006Rg00000c4d4vIAA "/>
    <s v=" 1.84/gal "/>
    <s v=" 4E "/>
    <s v=" Yes "/>
    <x v="16"/>
    <x v="5"/>
    <s v=" Medium "/>
    <s v=" Customer required install by Thursday closing for large family; capacity booked 1-2 weeks out; rep flagged urgency notes to preserve deal."/>
    <s v="4E"/>
    <x v="6"/>
    <s v="006Rg00000c4d4vIAA"/>
    <x v="1"/>
  </r>
  <r>
    <n v="24"/>
    <s v="006Rg00000c4gnZIAQ "/>
    <s v=" 2.11V/gal "/>
    <s v=" — "/>
    <s v=" — "/>
    <x v="0"/>
    <x v="0"/>
    <s v=" — "/>
    <s v=" —"/>
    <s v="—"/>
    <x v="0"/>
    <s v="006Rg00000c4gnZIAQ"/>
    <x v="0"/>
  </r>
  <r>
    <n v="24"/>
    <s v="006Rg00000c4MvKIAU "/>
    <s v=" 1.68V/gal "/>
    <s v=" 4B "/>
    <s v=" — "/>
    <x v="41"/>
    <x v="2"/>
    <s v=" High "/>
    <s v=" Rep disclosed $99 safety inspection; customer said &quot;of course I understand&quot; and proceeded to setup with no pushback."/>
    <s v="4B"/>
    <x v="3"/>
    <s v="006Rg00000c4MvKIAU"/>
    <x v="1"/>
  </r>
  <r>
    <n v="24"/>
    <s v="006Rg00000c4sDeIAI "/>
    <s v=" — "/>
    <s v=" — "/>
    <s v=" — "/>
    <x v="0"/>
    <x v="0"/>
    <s v=" — "/>
    <s v=" —"/>
    <s v="—"/>
    <x v="0"/>
    <s v="006Rg00000c4sDeIAI"/>
    <x v="0"/>
  </r>
  <r>
    <n v="25"/>
    <s v="006Rg00000c4wSYIAY "/>
    <s v=" 2.70 ? 2.65/gal "/>
    <s v=" 4C "/>
    <s v=" — "/>
    <x v="1"/>
    <x v="2"/>
    <s v=" Medium "/>
    <s v=" Asked &quot;is there an option where I can just buy the tank&quot;; rep said &quot;we don't sell the tanks, we are only renting&quot;; customer replied &quot;Okay. That's okay&quot; and proceeded."/>
    <s v="4C"/>
    <x v="1"/>
    <s v="006Rg00000c4wSYIAY"/>
    <x v="1"/>
  </r>
  <r>
    <n v="25"/>
    <s v="006Rg00000c4wSYIAY "/>
    <s v=" 2.70 ? 2.65/gal "/>
    <s v=" 4E "/>
    <s v=" — "/>
    <x v="13"/>
    <x v="2"/>
    <s v=" Medium "/>
    <s v=" Asked for 40-gal tank; rep said smallest available is 120; customer replied &quot;would probably be fine&quot; and continued to setup."/>
    <s v="4E"/>
    <x v="6"/>
    <s v="006Rg00000c4wSYIAY"/>
    <x v="1"/>
  </r>
  <r>
    <n v="25"/>
    <s v="006Rg00000c5e5NIAQ "/>
    <s v=" 1.70/gal "/>
    <s v=" — "/>
    <s v=" — "/>
    <x v="0"/>
    <x v="0"/>
    <s v=" — "/>
    <s v=" —"/>
    <s v="—"/>
    <x v="0"/>
    <s v="006Rg00000c5e5NIAQ"/>
    <x v="1"/>
  </r>
  <r>
    <n v="25"/>
    <s v="006Rg00000c5ik5IAA "/>
    <s v=" 2.17/gal "/>
    <s v=" 4B "/>
    <s v=" — "/>
    <x v="22"/>
    <x v="2"/>
    <s v=" Medium "/>
    <s v=" Reacted to $99 leak test: &quot;Well, they should pay we $100 that's it because this is ridiculous&quot;; rep held firm on safety requirement; customer proceeded and signed T&amp;Cs without concession."/>
    <s v="4B"/>
    <x v="3"/>
    <s v="006Rg00000c5ik5IAA"/>
    <x v="1"/>
  </r>
  <r>
    <n v="25"/>
    <s v="006Rg00000c5ik5IAA "/>
    <s v=" 2.17/gal "/>
    <s v=" 4D "/>
    <s v=" — "/>
    <x v="8"/>
    <x v="2"/>
    <s v=" Medium "/>
    <s v=" Asked &quot;I'm not going to have any contract or anything like that, right?&quot;; rep explained 3-year agreement with cancellable deliveries; customer accepted &quot;Okay&quot; and signed."/>
    <s v="4D"/>
    <x v="4"/>
    <s v="006Rg00000c5ik5IAA"/>
    <x v="1"/>
  </r>
  <r>
    <n v="25"/>
    <s v="006Rg00000c6PSTIA2 "/>
    <s v=" 2.79/gal "/>
    <s v=" 4B "/>
    <s v=" Yes "/>
    <x v="5"/>
    <x v="1"/>
    <s v=" High "/>
    <s v=" Stove-only usage; $100 rental + $90 MUC = $190/yr; customer says &quot;that's crazy&quot; and ends process to switch home to natural gas."/>
    <s v="4B"/>
    <x v="3"/>
    <s v="006Rg00000c6PSTIA2"/>
    <x v="0"/>
  </r>
  <r>
    <n v="25"/>
    <s v="006Rg00000c7b4zIAA "/>
    <s v=" 2.88/gal "/>
    <s v=" — "/>
    <s v=" — "/>
    <x v="0"/>
    <x v="0"/>
    <s v=" — "/>
    <s v=" —"/>
    <s v="—"/>
    <x v="0"/>
    <s v="006Rg00000c7b4zIAA"/>
    <x v="0"/>
  </r>
  <r>
    <n v="25"/>
    <s v="006Rg00000c7nZDIAY "/>
    <s v=" 2.03V / 2.18F/gal "/>
    <s v=" — "/>
    <s v=" — "/>
    <x v="0"/>
    <x v="0"/>
    <s v=" — "/>
    <s v=" —"/>
    <s v="—"/>
    <x v="0"/>
    <s v="006Rg00000c7nZDIAY"/>
    <x v="0"/>
  </r>
  <r>
    <n v="25"/>
    <s v="006Rg00000c7p9ZIAQ "/>
    <s v=" 1.74V / 1.89F/gal "/>
    <s v=" 4C "/>
    <s v=" Yes "/>
    <x v="15"/>
    <x v="1"/>
    <s v=" High "/>
    <s v=" Opened call requesting pre-buy program; rep offered variable and fixed only; customer thanks rep and disengages (&quot;save this for you&quot;) without commitment or scheduling."/>
    <s v="4C"/>
    <x v="1"/>
    <s v="006Rg00000c7p9ZIAQ"/>
    <x v="0"/>
  </r>
  <r>
    <n v="25"/>
    <s v="006Rg00000c7RDpIAM "/>
    <s v=" 2.27F/2.12V/gal "/>
    <s v=" — "/>
    <s v=" — "/>
    <x v="0"/>
    <x v="0"/>
    <s v=" — "/>
    <s v=" —"/>
    <s v="—"/>
    <x v="0"/>
    <s v="006Rg00000c7RDpIAM"/>
    <x v="1"/>
  </r>
  <r>
    <n v="25"/>
    <s v="006Rg00000c7SYDIA2 "/>
    <s v=" 1.66 ? 1.67/gal "/>
    <s v=" — "/>
    <s v=" — "/>
    <x v="0"/>
    <x v="0"/>
    <s v=" — "/>
    <s v=" —"/>
    <s v="—"/>
    <x v="0"/>
    <s v="006Rg00000c7SYDIA2"/>
    <x v="1"/>
  </r>
  <r>
    <n v="25"/>
    <s v="006Rg00000c7YS5IAM "/>
    <s v=" 2.15F/2.00V/gal "/>
    <s v=" — "/>
    <s v=" — "/>
    <x v="0"/>
    <x v="0"/>
    <s v=" — "/>
    <s v=" —"/>
    <s v="—"/>
    <x v="0"/>
    <s v="006Rg00000c7YS5IAM"/>
    <x v="0"/>
  </r>
  <r>
    <n v="25"/>
    <s v="006Rg00000c8dw0IAA "/>
    <s v=" — "/>
    <s v=" — "/>
    <s v=" — "/>
    <x v="0"/>
    <x v="0"/>
    <s v=" — "/>
    <s v=" —"/>
    <s v="—"/>
    <x v="0"/>
    <s v="006Rg00000c8dw0IAA"/>
    <x v="1"/>
  </r>
  <r>
    <n v="25"/>
    <s v="006Rg00000c8j5JIAQ "/>
    <s v=" 2.02F/gal "/>
    <s v=" — "/>
    <s v=" — "/>
    <x v="0"/>
    <x v="0"/>
    <s v=" — "/>
    <s v=" —"/>
    <s v="—"/>
    <x v="0"/>
    <s v="006Rg00000c8j5JIAQ"/>
    <x v="1"/>
  </r>
  <r>
    <n v="25"/>
    <s v="006Rg00000c8k9ZIAQ "/>
    <s v=" — "/>
    <s v=" — "/>
    <s v=" — "/>
    <x v="0"/>
    <x v="0"/>
    <s v=" — "/>
    <s v=" —"/>
    <s v="—"/>
    <x v="0"/>
    <s v="006Rg00000c8k9ZIAQ"/>
    <x v="0"/>
  </r>
  <r>
    <n v="25"/>
    <s v="006Rg00000c8PjJIAU "/>
    <s v=" 1.69/gal "/>
    <s v=" 4D "/>
    <s v=" Yes "/>
    <x v="8"/>
    <x v="1"/>
    <s v=" High "/>
    <s v=" Customer refuses 3-year agreement repeatedly (&quot;I don't want to be on the contract&quot;); second rep confirms signed paperwork mandatory to establish account; customer terminates."/>
    <s v="4D"/>
    <x v="4"/>
    <s v="006Rg00000c8PjJIAU"/>
    <x v="0"/>
  </r>
  <r>
    <n v="25"/>
    <s v="006Rg00000c8PjJIAU "/>
    <s v=" 1.69/gal "/>
    <s v=" 4B "/>
    <s v=" — "/>
    <x v="22"/>
    <x v="1"/>
    <s v=" High "/>
    <s v=" Rejects $99 safety/leak test as &quot;bullshit&quot;; refuses to pay for required inspection; reinforces refusal to proceed."/>
    <s v="4B"/>
    <x v="3"/>
    <s v="006Rg00000c8PjJIAU"/>
    <x v="0"/>
  </r>
  <r>
    <n v="25"/>
    <s v="006Rg00000c8rpPIAQ "/>
    <s v=" 2.49/gal "/>
    <s v=" — "/>
    <s v=" — "/>
    <x v="0"/>
    <x v="0"/>
    <s v=" — "/>
    <s v=" —"/>
    <s v="—"/>
    <x v="0"/>
    <s v="006Rg00000c8rpPIAQ"/>
    <x v="1"/>
  </r>
  <r>
    <n v="25"/>
    <s v="006Rg00000c8x3SIAQ "/>
    <s v=" 2.05V / 2.19F/gal "/>
    <s v=" 4C "/>
    <s v=" — "/>
    <x v="15"/>
    <x v="6"/>
    <s v=" Medium "/>
    <s v=" Customer stated &quot;I typically do the pre-buy&quot;; rep confirmed &quot;we don't offer pre-buy&quot;; customer said &quot;let me think about this&quot; and disengaged; two subsequent VMs unreturned as of June 15."/>
    <s v="4C"/>
    <x v="1"/>
    <s v="006Rg00000c8x3SIAQ"/>
    <x v="0"/>
  </r>
  <r>
    <n v="26"/>
    <s v="006Rg00000c9Nh3IAE "/>
    <s v=" 2.11/gal "/>
    <s v=" — "/>
    <s v=" — "/>
    <x v="0"/>
    <x v="0"/>
    <s v=" — "/>
    <s v=" —"/>
    <s v="—"/>
    <x v="0"/>
    <s v="006Rg00000c9Nh3IAE"/>
    <x v="0"/>
  </r>
  <r>
    <n v="26"/>
    <s v="006Rg00000c92eMIAQ "/>
    <s v=" — "/>
    <s v=" — "/>
    <s v=" — "/>
    <x v="0"/>
    <x v="0"/>
    <s v=" — "/>
    <s v=" —"/>
    <s v="—"/>
    <x v="0"/>
    <s v="006Rg00000c92eMIAQ"/>
    <x v="0"/>
  </r>
  <r>
    <n v="26"/>
    <s v="006Rg00000caha1IAA "/>
    <s v=" — "/>
    <s v=" — "/>
    <s v=" — "/>
    <x v="0"/>
    <x v="0"/>
    <s v=" — "/>
    <s v=" —"/>
    <s v="—"/>
    <x v="0"/>
    <s v="006Rg00000caha1IAA"/>
    <x v="0"/>
  </r>
  <r>
    <n v="26"/>
    <s v="006Rg00000caiZKIAY "/>
    <s v=" 2.05/gal "/>
    <s v=" 4B "/>
    <s v=" No "/>
    <x v="10"/>
    <x v="5"/>
    <s v=" High "/>
    <s v=" Customer resisted $30 delivery fee for seasonal low-use tanks; rep conceded 50% to $15 to preserve deal."/>
    <s v="4B"/>
    <x v="3"/>
    <s v="006Rg00000caiZKIAY"/>
    <x v="0"/>
  </r>
  <r>
    <n v="26"/>
    <s v="006Rg00000caiZKIAY "/>
    <s v=" 2.05/gal "/>
    <s v=" 4B "/>
    <s v=" No "/>
    <x v="22"/>
    <x v="5"/>
    <s v=" High "/>
    <s v=" Customer pushed back on $100 safety check citing tank is only one year old; rep offered to try to waive it."/>
    <s v="4B"/>
    <x v="3"/>
    <s v="006Rg00000caiZKIAY"/>
    <x v="0"/>
  </r>
  <r>
    <n v="26"/>
    <s v="006Rg00000caiZKIAY "/>
    <s v=" 2.05/gal "/>
    <s v=" 4B "/>
    <s v=" Yes "/>
    <x v="17"/>
    <x v="1"/>
    <s v=" High "/>
    <s v=" Customer chose local self-refill of 60-lb tanks at $25; full fee stack uneconomical for occasional seasonal RV use."/>
    <s v="4B"/>
    <x v="3"/>
    <s v="006Rg00000caiZKIAY"/>
    <x v="0"/>
  </r>
  <r>
    <n v="26"/>
    <s v="006Rg00000caiZKIAY "/>
    <s v=" 2.05/gal "/>
    <s v=" 4C "/>
    <s v=" — "/>
    <x v="15"/>
    <x v="2"/>
    <s v=" Medium "/>
    <s v=" Customer asked about prepay; rep said &quot;we don't do any prepays anymore&quot;; customer absorbed and continued exploring."/>
    <s v="4C"/>
    <x v="1"/>
    <s v="006Rg00000caiZKIAY"/>
    <x v="0"/>
  </r>
  <r>
    <n v="26"/>
    <s v="006Rg00000cAp1mIAC "/>
    <s v=" 2.26/gal "/>
    <s v=" 4E "/>
    <s v=" — "/>
    <x v="21"/>
    <x v="2"/>
    <s v=" High "/>
    <s v=" Customer wanted kerosene/oil fill; rep said Superior sold that business to Mirabito; customer accepted and proceeded with propane only."/>
    <s v="4E"/>
    <x v="6"/>
    <s v="006Rg00000cAp1mIAC"/>
    <x v="1"/>
  </r>
  <r>
    <n v="26"/>
    <s v="006Rg00000cAp1mIAC "/>
    <s v=" 2.26/gal "/>
    <s v=" 4D "/>
    <s v=" — "/>
    <x v="25"/>
    <x v="3"/>
    <s v=" High "/>
    <s v=" Customer said no funds for immediate payment; rep offered credit-check 30-day billing terms; customer accepted and proceeded."/>
    <s v="4D"/>
    <x v="4"/>
    <s v="006Rg00000cAp1mIAC"/>
    <x v="1"/>
  </r>
  <r>
    <n v="26"/>
    <s v="006Rg00000caY5SIAU "/>
    <s v=" 2.05/gal "/>
    <s v=" 4A "/>
    <s v=" Yes "/>
    <x v="30"/>
    <x v="1"/>
    <s v=" High "/>
    <s v=" Customer stated a cheaper offer was accepted and tank was filled elsewhere; declined Superior on price grounds."/>
    <s v="4A"/>
    <x v="2"/>
    <s v="006Rg00000caY5SIAU"/>
    <x v="0"/>
  </r>
  <r>
    <n v="26"/>
    <s v="006Rg00000cAyReIAK "/>
    <s v=" 1.88V/2.02F/gal "/>
    <s v=" 4C "/>
    <s v=" — "/>
    <x v="15"/>
    <x v="3"/>
    <s v=" High "/>
    <s v=" Customer asked &quot;if you guys do pre-buy&quot;; rep offered fixed-price alternative at $2.02 for one year; customer engaged and requested emailed quote."/>
    <s v="4C"/>
    <x v="1"/>
    <s v="006Rg00000cAyReIAK"/>
    <x v="0"/>
  </r>
  <r>
    <n v="26"/>
    <s v="006Rg00000cbkArIAI "/>
    <s v=" — "/>
    <s v=" — "/>
    <s v=" — "/>
    <x v="0"/>
    <x v="0"/>
    <s v=" — "/>
    <s v=" —"/>
    <s v="—"/>
    <x v="0"/>
    <s v="006Rg00000cbkArIAI"/>
    <x v="0"/>
  </r>
  <r>
    <n v="26"/>
    <s v="006Rg00000cbm1NIAQ "/>
    <s v=" 1.79/gal "/>
    <s v=" 4D "/>
    <s v=" — "/>
    <x v="25"/>
    <x v="3"/>
    <s v=" High "/>
    <s v=" Customer said &quot;just paid all my money to move in...ain't got nothing extra&quot;; rep offered 30-day credit-check billing terms; customer accepted and signed."/>
    <s v="4D"/>
    <x v="4"/>
    <s v="006Rg00000cbm1NIAQ"/>
    <x v="1"/>
  </r>
  <r>
    <n v="26"/>
    <s v="006Rg00000cBMCDIA4 "/>
    <s v=" 2.13 ? 1.99/gal "/>
    <s v=" 4A "/>
    <s v=" — "/>
    <x v="39"/>
    <x v="3"/>
    <s v=" High "/>
    <s v=" Customer told rep price seemed too cheap jokingly; rate dropped from $2.13 to $1.99 via buying-group referral; customer accepted enthusiastically and signed."/>
    <s v="4A"/>
    <x v="2"/>
    <s v="006Rg00000cBMCDIA4"/>
    <x v="1"/>
  </r>
  <r>
    <n v="26"/>
    <s v="006Rg00000cBMKHIA4 "/>
    <s v=" 1.84/gal "/>
    <s v=" 4E "/>
    <s v=" — "/>
    <x v="13"/>
    <x v="2"/>
    <s v=" Medium "/>
    <s v=" Customer asked whether 500 or 1000-gallon tank needed; rep deferred to site visit; customer accepted and signed 3-year agreement."/>
    <s v="4E"/>
    <x v="6"/>
    <s v="006Rg00000cBMKHIA4"/>
    <x v="1"/>
  </r>
  <r>
    <n v="26"/>
    <s v="006Rg00000cBPGXIA4 "/>
    <s v=" 1.83V/1.98F/gal "/>
    <s v=" — "/>
    <s v=" — "/>
    <x v="0"/>
    <x v="0"/>
    <s v=" — "/>
    <s v=" —"/>
    <s v="—"/>
    <x v="0"/>
    <s v="006Rg00000cBPGXIA4"/>
    <x v="0"/>
  </r>
  <r>
    <n v="26"/>
    <s v="006Rg00000cBSSxIAO "/>
    <s v=" 1.627/gal "/>
    <s v=" 4C "/>
    <s v=" — "/>
    <x v="15"/>
    <x v="3"/>
    <s v=" High "/>
    <s v=" Customer asked for &quot;prepay fixed plan for 800 gallons&quot;; rep explained Superior offers fixed price not prebuy; customer accepted and signed six days later."/>
    <s v="4C"/>
    <x v="1"/>
    <s v="006Rg00000cBSSxIAO"/>
    <x v="1"/>
  </r>
  <r>
    <n v="26"/>
    <s v="006Rg00000cBSSxIAO "/>
    <s v=" 1.627/gal "/>
    <s v=" 4A "/>
    <s v=" — "/>
    <x v="24"/>
    <x v="2"/>
    <s v=" Medium "/>
    <s v=" Customer asked about upfront-payment discount; rep said rates already competitive, no additional discount; customer absorbed and proceeded to sign."/>
    <s v="4A"/>
    <x v="2"/>
    <s v="006Rg00000cBSSxIAO"/>
    <x v="1"/>
  </r>
  <r>
    <n v="26"/>
    <s v="006Rg00000cC8okIAC "/>
    <s v=" 2.08/gal "/>
    <s v=" 4C "/>
    <s v=" — "/>
    <x v="8"/>
    <x v="2"/>
    <s v=" High "/>
    <s v=" Customer asked &quot;Can I get a one year?...I don't know anything about you&quot;; rep said only 3-year offered; customer read contract and signed anyway."/>
    <s v="4C"/>
    <x v="1"/>
    <s v="006Rg00000cC8okIAC"/>
    <x v="0"/>
  </r>
  <r>
    <n v="26"/>
    <s v="006Rg00000cC8okIAC "/>
    <s v=" 2.08/gal "/>
    <s v=" 4D "/>
    <s v=" — "/>
    <x v="19"/>
    <x v="2"/>
    <s v=" High "/>
    <s v=" Customer asked about cancellation cost; rep confirmed $250 exit fee; customer absorbed and proceeded to sign the agreement."/>
    <s v="4D"/>
    <x v="4"/>
    <s v="006Rg00000cC8okIAC"/>
    <x v="0"/>
  </r>
  <r>
    <n v="27"/>
    <s v="006Rg00000cC57jIAC "/>
    <s v=" 2.29F/2.15V/gal "/>
    <s v=" — "/>
    <s v=" — "/>
    <x v="0"/>
    <x v="0"/>
    <s v=" — "/>
    <s v=" Routine new-customer quote gathering; customer wrote details down, agreed to call back within a week; no attribute surfaced as candidate issue"/>
    <s v="—"/>
    <x v="0"/>
    <s v="006Rg00000cC57jIAC"/>
    <x v="0"/>
  </r>
  <r>
    <n v="27"/>
    <s v="006Rg00000cC79VIAS "/>
    <s v=" 2.28/gal "/>
    <s v=" 4C "/>
    <s v=" — "/>
    <x v="15"/>
    <x v="6"/>
    <s v=" Medium "/>
    <s v=" Customer wanted to prepay full 550 gallons annually as she had with prior supplier; rep said &quot;our system doesn't have that mechanism&quot; and would check with accounts; opportunity stalled undetermined"/>
    <s v="4C"/>
    <x v="1"/>
    <s v="006Rg00000cC79VIAS"/>
    <x v="0"/>
  </r>
  <r>
    <n v="27"/>
    <s v="006Rg00000cCAKIIA4 "/>
    <s v=" — "/>
    <s v=" 4E "/>
    <s v=" Yes "/>
    <x v="13"/>
    <x v="1"/>
    <s v=" High "/>
    <s v=" Customer owns 100-lb cylinder in Leisurewood park; two reps confirmed Superior does not fill that tank type (&quot;we can't do the hundred pound cylinders&quot;); customer disengaged and sought other suppliers"/>
    <s v="4E"/>
    <x v="6"/>
    <s v="006Rg00000cCAKIIA4"/>
    <x v="0"/>
  </r>
  <r>
    <n v="27"/>
    <s v="006Rg00000cCE4kIAG "/>
    <s v=" 1.59 ? 1.54V/gal "/>
    <s v=" 4B "/>
    <s v=" — "/>
    <x v="42"/>
    <x v="2"/>
    <s v=" Medium "/>
    <s v=" Customer reacted &quot;Oh wow&quot; to $49 fixed-price enrollment fee and elected variable rate instead; deal proceeded through credit approval, agreement signed, no further drag"/>
    <s v="4B"/>
    <x v="3"/>
    <s v="006Rg00000cCE4kIAG"/>
    <x v="1"/>
  </r>
  <r>
    <n v="27"/>
    <s v="006Rg00000cCGMUIA4 "/>
    <s v=" 1.74F/1.59V/gal "/>
    <s v=" — "/>
    <s v=" — "/>
    <x v="0"/>
    <x v="0"/>
    <s v=" — "/>
    <s v=" Customer collecting info to discuss with son; quote saved; no attribute surfaced as candidate issue"/>
    <s v="—"/>
    <x v="0"/>
    <s v="006Rg00000cCGMUIA4"/>
    <x v="0"/>
  </r>
  <r>
    <n v="27"/>
    <s v="006Rg00000cEDcFIAW "/>
    <s v=" 2.056/gal "/>
    <s v=" — "/>
    <s v=" — "/>
    <x v="0"/>
    <x v="0"/>
    <s v=" — "/>
    <s v=" New service via landlord; customer engaged with pricing, chose fixed rate for promo eligibility, credit approved, agreement signed same call"/>
    <s v="—"/>
    <x v="0"/>
    <s v="006Rg00000cEDcFIAW"/>
    <x v="1"/>
  </r>
  <r>
    <n v="27"/>
    <s v="006Rg00000cEFCbIAO "/>
    <s v=" 1.99V/gal "/>
    <s v=" — "/>
    <s v=" — "/>
    <x v="0"/>
    <x v="0"/>
    <s v=" — "/>
    <s v=" Ferrell Gas customer requesting quote; asked about hidden &quot;hazardous pay&quot; fee, rep confirmed none beyond disclosed transportation fee; quote emailed for review, no objection raised"/>
    <s v="—"/>
    <x v="0"/>
    <s v="006Rg00000cEFCbIAO"/>
    <x v="0"/>
  </r>
  <r>
    <n v="27"/>
    <s v="006Rg00000cEFZLIA4 "/>
    <s v=" 1.59/gal "/>
    <s v=" — "/>
    <s v=" — "/>
    <x v="0"/>
    <x v="0"/>
    <s v=" — "/>
    <s v=" Voicemail pitching customer-owned tank fill promo to Bill; no customer response captured"/>
    <s v="—"/>
    <x v="0"/>
    <s v="006Rg00000cEFZLIA4"/>
    <x v="0"/>
  </r>
  <r>
    <n v="27"/>
    <s v="006Rg00000cEp6gIAC "/>
    <s v=" 1.67/gal "/>
    <s v=" — "/>
    <s v=" — "/>
    <x v="0"/>
    <x v="0"/>
    <s v=" — "/>
    <s v=" Voicemail pitching COT fill promo to Steve; no customer response captured"/>
    <s v="—"/>
    <x v="0"/>
    <s v="006Rg00000cEp6gIAC"/>
    <x v="0"/>
  </r>
  <r>
    <n v="27"/>
    <s v="006Rg00000cEr3OIAS "/>
    <s v=" 1.94V/2.09F/gal "/>
    <s v=" 4C "/>
    <s v=" — "/>
    <x v="15"/>
    <x v="2"/>
    <s v=" Medium "/>
    <s v=" Former customer asked for pre-buy rate; rep confirmed not offered but presented fixed price as equivalent; customer said &quot;sounds like a deal&quot; and will check current supplier's exit terms"/>
    <s v="4C"/>
    <x v="1"/>
    <s v="006Rg00000cEr3OIAS"/>
    <x v="0"/>
  </r>
  <r>
    <n v="27"/>
    <s v="006Rg00000cEr6cIAC "/>
    <s v=" 2.94V (cook)/1.54V (cook+boiler)/gal "/>
    <s v=" — "/>
    <s v=" — "/>
    <x v="0"/>
    <x v="0"/>
    <s v=" — "/>
    <s v=" Customer gathering quotes for future boiler install (August timeframe); engaged with pricing, no attribute objected to; will follow up after other quotes"/>
    <s v="—"/>
    <x v="0"/>
    <s v="006Rg00000cEr6cIAC"/>
    <x v="0"/>
  </r>
  <r>
    <n v="27"/>
    <s v="006Rg00000cEskMIAS "/>
    <s v=" 1.79/gal "/>
    <s v=" 4F "/>
    <s v=" — "/>
    <x v="18"/>
    <x v="2"/>
    <s v=" Medium "/>
    <s v=" Customer wants Page Trucking employee rate ($1.69); rep confirmed rate exists but requires account setup via Page channel, not this rep; customer will route through Page"/>
    <s v="4F"/>
    <x v="5"/>
    <s v="006Rg00000cEskMIAS"/>
    <x v="0"/>
  </r>
  <r>
    <n v="27"/>
    <s v="006Rg00000cEsVhIAK "/>
    <s v=" 3.33/gal "/>
    <s v=" 4B "/>
    <s v=" Yes "/>
    <x v="6"/>
    <x v="5"/>
    <s v=" High "/>
    <s v=" Customer pushed back on $300 install fee (&quot;no equipment needed&quot;), rejected rep's explanation of lines/regulators/labor scope, disengaged to shop competitors"/>
    <s v="4B"/>
    <x v="3"/>
    <s v="006Rg00000cEsVhIAK"/>
    <x v="1"/>
  </r>
  <r>
    <n v="27"/>
    <s v="006Rg00000cEUoLIAW "/>
    <s v=" 1.963V/2.109F/gal "/>
    <s v=" — "/>
    <s v=" — "/>
    <x v="0"/>
    <x v="0"/>
    <s v=" — "/>
    <s v=" Suburban customer with underground tank; barrier is third-party tank purchase/removal from Suburban and truck access concerns — non-offer, external logistics, out of scope; engaged favorably with pricing"/>
    <s v="—"/>
    <x v="0"/>
    <s v="006Rg00000cEUoLIAW"/>
    <x v="0"/>
  </r>
  <r>
    <n v="27"/>
    <s v="006Rg00000cF1IsIAK "/>
    <s v=" — "/>
    <s v=" — "/>
    <s v=" — "/>
    <x v="0"/>
    <x v="0"/>
    <s v=" — "/>
    <s v=" Multi-segment outbound campaign — all voicemails to Ken and Nancy from Linda; no customer engagement captured, no candidate issue surfaced"/>
    <s v="—"/>
    <x v="0"/>
    <s v="006Rg00000cF1IsIAK"/>
    <x v="0"/>
  </r>
  <r>
    <n v="27"/>
    <s v="006Rg00000cF2mvIAC "/>
    <s v=" — "/>
    <s v=" 4A "/>
    <s v=" — "/>
    <x v="43"/>
    <x v="2"/>
    <s v=" Medium "/>
    <s v=" Former customer Marvin cited &quot;pricing&quot; as reason for prior switch and declined to hear a new quote; no current rate on the table so historic pricing complaint is context only"/>
    <s v="4A"/>
    <x v="2"/>
    <s v="006Rg00000cF2mvIAC"/>
    <x v="0"/>
  </r>
  <r>
    <n v="27"/>
    <s v="006Rg00000cF2n3IAC "/>
    <s v=" 1.59/gal "/>
    <s v=" — "/>
    <s v=" — "/>
    <x v="0"/>
    <x v="0"/>
    <s v=" — "/>
    <s v=" Voicemail to Michael pitching customer-owned tank fill promo at $1.59/gal; no customer response captured"/>
    <s v="—"/>
    <x v="0"/>
    <s v="006Rg00000cF2n3IAC"/>
    <x v="0"/>
  </r>
  <r>
    <n v="27"/>
    <s v="006Rg00000cF40oIAC "/>
    <s v=" ~2.00/gal "/>
    <s v=" 4A "/>
    <s v=" Yes "/>
    <x v="24"/>
    <x v="1"/>
    <s v=" High "/>
    <s v=" Customer asked lock-in rate for Moores NY, rep quoted &quot;around $2 and…&quot; from Port Henry office; customer said &quot;that's a long ways of drive. No, that price would be too high&quot; and ended call"/>
    <s v="4A"/>
    <x v="2"/>
    <s v="006Rg00000cF40oIAC"/>
    <x v="0"/>
  </r>
  <r>
    <n v="27"/>
    <s v="006Rg00000cFcdNIAS "/>
    <s v=" 1.89F/1.74V/gal "/>
    <s v=" — "/>
    <s v=" — "/>
    <x v="0"/>
    <x v="0"/>
    <s v=" — "/>
    <s v=" Gail Muller COT inquiry engaged normally with pricing, safety inspection ($99), fixed enrollment ($49), 3-year agreement all disclosed and absorbed; will discuss with husband — no attribute objected to"/>
    <s v="—"/>
    <x v="0"/>
    <s v="006Rg00000cFcdNIAS"/>
    <x v="0"/>
  </r>
  <r>
    <n v="27"/>
    <s v="006Rg00000cFihEIAS "/>
    <s v=" 2.46/gal "/>
    <s v=" — "/>
    <s v=" — "/>
    <x v="0"/>
    <x v="0"/>
    <s v=" — "/>
    <s v=" Existing customer added new property, accepted discounted rate with $250+$250 promo, signed agreement same call; no candidate issue"/>
    <s v="—"/>
    <x v="0"/>
    <s v="006Rg00000cFihEIAS"/>
    <x v="1"/>
  </r>
  <r>
    <n v="28"/>
    <s v="006Rg00000cFIWbIAO "/>
    <s v=" 1.81/gal "/>
    <s v=" 4B "/>
    <s v=" — "/>
    <x v="7"/>
    <x v="2"/>
    <s v=" Medium "/>
    <s v=" Customer said yearly rental was her &quot;biggest concern&quot;; rep offered conditional heating-migration waiver; she noted for husband and continued gathering info without progression drag."/>
    <s v="4B"/>
    <x v="3"/>
    <s v="006Rg00000cFIWbIAO"/>
    <x v="0"/>
  </r>
  <r>
    <n v="28"/>
    <s v="006Rg00000cFnqbIAC "/>
    <s v=" 2.36/2.05/gal "/>
    <s v=" 4C "/>
    <s v=" Yes "/>
    <x v="1"/>
    <x v="1"/>
    <s v=" High "/>
    <s v=" Customer asked &quot;can I buy the tanks?&quot;; rep said Superior doesn't sell them; customer said tanks were cheaper elsewhere, deferred, follow-up confirmed not ready."/>
    <s v="4C"/>
    <x v="1"/>
    <s v="006Rg00000cFnqbIAC"/>
    <x v="0"/>
  </r>
  <r>
    <n v="28"/>
    <s v="006Rg00000cFojOIAS "/>
    <s v=" 1.76/gal "/>
    <s v=" — "/>
    <s v=" — "/>
    <x v="0"/>
    <x v="0"/>
    <s v=" — "/>
    <s v=" —"/>
    <s v="—"/>
    <x v="0"/>
    <s v="006Rg00000cFojOIAS"/>
    <x v="1"/>
  </r>
  <r>
    <n v="28"/>
    <s v="006Rg00000cG1OrIAK "/>
    <s v=" 1.99/gal "/>
    <s v=" — "/>
    <s v=" — "/>
    <x v="0"/>
    <x v="0"/>
    <s v=" — "/>
    <s v=" —"/>
    <s v="—"/>
    <x v="0"/>
    <s v="006Rg00000cG1OrIAK"/>
    <x v="1"/>
  </r>
  <r>
    <n v="28"/>
    <s v="006Rg00000cggPzIAI "/>
    <s v=" 2.18F/2.12V/gal "/>
    <s v=" — "/>
    <s v=" — "/>
    <x v="0"/>
    <x v="0"/>
    <s v=" — "/>
    <s v=" —"/>
    <s v="—"/>
    <x v="0"/>
    <s v="006Rg00000cggPzIAI"/>
    <x v="1"/>
  </r>
  <r>
    <n v="29"/>
    <s v="006Rg00000cgnjBIAQ "/>
    <s v=" — "/>
    <s v=" 4A "/>
    <s v=" Yes "/>
    <x v="2"/>
    <x v="1"/>
    <s v=" High "/>
    <s v=" Customer told Julie incumbent &quot;lowered my price a lot&quot; and will stay with them; declined Superior on that basis."/>
    <s v="4A"/>
    <x v="2"/>
    <s v="006Rg00000cgnjBIAQ"/>
    <x v="0"/>
  </r>
  <r>
    <n v="29"/>
    <s v="006Rg00000cgOpdIAE "/>
    <s v=" 2.03 ? 1.75/gal "/>
    <s v=" — "/>
    <s v=" — "/>
    <x v="0"/>
    <x v="0"/>
    <s v=" — "/>
    <s v=" —"/>
    <s v="—"/>
    <x v="0"/>
    <s v="006Rg00000cgOpdIAE"/>
    <x v="1"/>
  </r>
  <r>
    <n v="29"/>
    <s v="006Rg00000cguWAIAY "/>
    <s v=" 1.86/gal "/>
    <s v=" 4C "/>
    <s v=" — "/>
    <x v="15"/>
    <x v="2"/>
    <s v=" Medium "/>
    <s v=" Customer asked for pre-buy program; rep confirmed unavailable and offered fixed; customer said &quot;sounds good&quot; and ended call while price-checking multiple suppliers."/>
    <s v="4C"/>
    <x v="1"/>
    <s v="006Rg00000cguWAIAY"/>
    <x v="0"/>
  </r>
  <r>
    <n v="29"/>
    <s v="006Rg00000cgvTrIAI "/>
    <s v=" 2.02F/1.93V "/>
    <s v=" 4C "/>
    <s v=" Yes "/>
    <x v="8"/>
    <x v="1"/>
    <s v=" High "/>
    <s v=" Customer identified 3-year agreement as the &quot;no, no, no point&quot; due to husband's contract aversion; ended without signing; VM follow-up unanswered."/>
    <s v="4C"/>
    <x v="1"/>
    <s v="006Rg00000cgvTrIAI"/>
    <x v="0"/>
  </r>
  <r>
    <n v="29"/>
    <s v="006Rg00000cgxsDIAQ "/>
    <s v=" 1.72/gal "/>
    <s v=" — "/>
    <s v=" — "/>
    <x v="0"/>
    <x v="0"/>
    <s v=" — "/>
    <s v=" —"/>
    <s v="—"/>
    <x v="0"/>
    <s v="006Rg00000cgxsDIAQ"/>
    <x v="1"/>
  </r>
  <r>
    <n v="29"/>
    <s v="006Rg00000cgzjPIAQ "/>
    <s v=" — "/>
    <s v=" — "/>
    <s v=" — "/>
    <x v="0"/>
    <x v="0"/>
    <s v=" — "/>
    <s v=" —"/>
    <s v="—"/>
    <x v="0"/>
    <s v="006Rg00000cgzjPIAQ"/>
    <x v="1"/>
  </r>
  <r>
    <n v="29"/>
    <s v="006Rg00000ch1NxIAI "/>
    <s v=" 2.05/gal "/>
    <s v=" 4D "/>
    <s v=" Yes "/>
    <x v="9"/>
    <x v="1"/>
    <s v=" High "/>
    <s v=" Customer refused required credit check for billing terms/auto-pay, called it &quot;offensive&quot;; disengaged and switched to another supplier before Romania's follow-up COD offer."/>
    <s v="4D"/>
    <x v="4"/>
    <s v="006Rg00000ch1NxIAI"/>
    <x v="0"/>
  </r>
  <r>
    <n v="29"/>
    <s v="006Rg00000ch3HhIAI "/>
    <s v=" 1.77/gal "/>
    <s v=" — "/>
    <s v=" — "/>
    <x v="0"/>
    <x v="0"/>
    <s v=" — "/>
    <s v=" —"/>
    <s v="—"/>
    <x v="0"/>
    <s v="006Rg00000ch3HhIAI"/>
    <x v="0"/>
  </r>
  <r>
    <n v="29"/>
    <s v="006Rg00000ch3zHIAQ "/>
    <s v=" 1.62/gal "/>
    <s v=" — "/>
    <s v=" — "/>
    <x v="0"/>
    <x v="0"/>
    <s v=" — "/>
    <s v=" —"/>
    <s v="—"/>
    <x v="0"/>
    <s v="006Rg00000ch3zHIAQ"/>
    <x v="0"/>
  </r>
  <r>
    <n v="29"/>
    <s v="006Rg00000cHaXbIAK "/>
    <s v=" 1.88F/2.02V "/>
    <s v=" — "/>
    <s v=" — "/>
    <x v="0"/>
    <x v="0"/>
    <s v=" — "/>
    <s v=" —"/>
    <s v="—"/>
    <x v="0"/>
    <s v="006Rg00000cHaXbIAK"/>
    <x v="1"/>
  </r>
  <r>
    <n v="29"/>
    <s v="006Rg00000cHBSlIAO "/>
    <s v=" 2.17/gal "/>
    <s v=" — "/>
    <s v=" — "/>
    <x v="0"/>
    <x v="0"/>
    <s v=" — "/>
    <s v=" —"/>
    <s v="—"/>
    <x v="0"/>
    <s v="006Rg00000cHBSlIAO"/>
    <x v="1"/>
  </r>
  <r>
    <n v="29"/>
    <s v="006Rg00000chBYcIAM "/>
    <s v=" — "/>
    <s v=" — "/>
    <s v=" — "/>
    <x v="0"/>
    <x v="0"/>
    <s v=" — "/>
    <s v=" —"/>
    <s v="—"/>
    <x v="0"/>
    <s v="006Rg00000chBYcIAM"/>
    <x v="1"/>
  </r>
  <r>
    <n v="29"/>
    <s v="006Rg00000chDozIAE "/>
    <s v=" 1.69/gal "/>
    <s v=" — "/>
    <s v=" — "/>
    <x v="0"/>
    <x v="0"/>
    <s v=" — "/>
    <s v=" —"/>
    <s v="—"/>
    <x v="0"/>
    <s v="006Rg00000chDozIAE"/>
    <x v="0"/>
  </r>
  <r>
    <n v="29"/>
    <s v="006Rg00000cHfdbIAC "/>
    <s v=" 1.94/gal "/>
    <s v=" — "/>
    <s v=" — "/>
    <x v="0"/>
    <x v="0"/>
    <s v=" — "/>
    <s v=" —"/>
    <s v="—"/>
    <x v="0"/>
    <s v="006Rg00000cHfdbIAC"/>
    <x v="1"/>
  </r>
  <r>
    <n v="29"/>
    <s v="006Rg00000cHkJtIAK "/>
    <s v=" 1.75/gal "/>
    <s v=" — "/>
    <s v=" — "/>
    <x v="0"/>
    <x v="0"/>
    <s v=" — "/>
    <s v=" —"/>
    <s v="—"/>
    <x v="0"/>
    <s v="006Rg00000cHkJtIAK"/>
    <x v="0"/>
  </r>
  <r>
    <n v="29"/>
    <s v="006Rg00000cHos9IAC "/>
    <s v=" 1.72 ? 1.87/gal "/>
    <s v=" 4D "/>
    <s v=" — "/>
    <x v="19"/>
    <x v="2"/>
    <s v=" Medium "/>
    <s v=" Customer asked &quot;how much is the determination and the pickup&quot;; rep quoted $250 pickup + $250 termination; customer said &quot;interesting&quot; and signed; later same-day cancellation had no stated cause."/>
    <s v="4D"/>
    <x v="4"/>
    <s v="006Rg00000cHos9IAC"/>
    <x v="1"/>
  </r>
  <r>
    <n v="29"/>
    <s v="006Rg00000chpRBIAY "/>
    <s v=" 2.02V/1.95F "/>
    <s v=" 4B "/>
    <s v=" — "/>
    <x v="36"/>
    <x v="2"/>
    <s v=" Medium "/>
    <s v=" MUC $120/yr disclosed for tank under 125 gal usage; customer uses &quot;about half the tank&quot; (~50 gal); accepted the answer and left to &quot;do some figuring&quot; citing Amerigas removal logistics, not the MUC."/>
    <s v="4B"/>
    <x v="3"/>
    <s v="006Rg00000chpRBIAY"/>
    <x v="0"/>
  </r>
  <r>
    <n v="30"/>
    <s v="006Rg00000chrBFIAY "/>
    <s v=" — "/>
    <s v=" — "/>
    <s v=" — "/>
    <x v="0"/>
    <x v="0"/>
    <s v=" — "/>
    <s v=" —"/>
    <s v="—"/>
    <x v="0"/>
    <s v="006Rg00000chrBFIAY"/>
    <x v="1"/>
  </r>
  <r>
    <n v="30"/>
    <s v="006Rg00000chrUbIAI "/>
    <s v=" 1.97/gal "/>
    <s v=" 4C "/>
    <s v=" — "/>
    <x v="15"/>
    <x v="3"/>
    <s v=" Medium "/>
    <s v=" Customer asked &quot;any better deal if I prepay?&quot;; rep confirmed no prebuy discount (retail applied); customer said &quot;I might as well stay with the 1.97 fixed&quot; and signed."/>
    <s v="4C"/>
    <x v="1"/>
    <s v="006Rg00000chrUbIAI"/>
    <x v="1"/>
  </r>
  <r>
    <n v="30"/>
    <s v="006Rg00000cHZMtIAO "/>
    <s v=" 1.94V / 2.09F "/>
    <s v=" 4C "/>
    <s v=" — "/>
    <x v="15"/>
    <x v="3"/>
    <s v=" Medium "/>
    <s v=" Customer asked for &quot;summer buyout&quot;; rep explained fixed 2.09/gal for one year instead; customer engaged with fixed structure, no rejection of the alternative."/>
    <s v="4C"/>
    <x v="1"/>
    <s v="006Rg00000cHZMtIAO"/>
    <x v="0"/>
  </r>
  <r>
    <n v="30"/>
    <s v="006Rg00000cI1PZIA0 "/>
    <s v=" 2.05V / 2.19F "/>
    <s v=" — "/>
    <s v=" — "/>
    <x v="0"/>
    <x v="0"/>
    <s v=" — "/>
    <s v=" —"/>
    <s v="—"/>
    <x v="0"/>
    <s v="006Rg00000cI1PZIA0"/>
    <x v="0"/>
  </r>
  <r>
    <n v="30"/>
    <s v="006Rg00000ci2g9IAA "/>
    <s v=" 2.15/gal "/>
    <s v=" — "/>
    <s v=" — "/>
    <x v="0"/>
    <x v="0"/>
    <s v=" — "/>
    <s v=" —"/>
    <s v="—"/>
    <x v="0"/>
    <s v="006Rg00000ci2g9IAA"/>
    <x v="1"/>
  </r>
  <r>
    <n v="30"/>
    <s v="006Rg00000cINJdIAO "/>
    <s v=" 1.69V / 1.83F "/>
    <s v=" — "/>
    <s v=" — "/>
    <x v="0"/>
    <x v="0"/>
    <s v=" — "/>
    <s v=" —"/>
    <s v="—"/>
    <x v="0"/>
    <s v="006Rg00000cINJdIAO"/>
    <x v="0"/>
  </r>
  <r>
    <n v="30"/>
    <s v="006Rg00000cIudlIAC "/>
    <s v=" 2.00 ? 1.76/gal "/>
    <s v=" — "/>
    <s v=" — "/>
    <x v="0"/>
    <x v="0"/>
    <s v=" — "/>
    <s v=" —"/>
    <s v="—"/>
    <x v="0"/>
    <s v="006Rg00000cIudlIAC"/>
    <x v="0"/>
  </r>
  <r>
    <n v="30"/>
    <s v="006Rg00000cIVE7IAO "/>
    <s v=" — "/>
    <s v=" 4C "/>
    <s v=" — "/>
    <x v="8"/>
    <x v="2"/>
    <s v=" Medium "/>
    <s v=" Customer asked &quot;am I obligated to buy your propane for a certain amount of years&quot;; rep confirmed 3-year contract; customer replied &quot;I'm okay with that&quot; and proceeded to install scheduling."/>
    <s v="4C"/>
    <x v="1"/>
    <s v="006Rg00000cIVE7IAO"/>
    <x v="1"/>
  </r>
  <r>
    <n v="30"/>
    <s v="006Rg00000cJ0EZIA0 "/>
    <s v=" — "/>
    <s v=" — "/>
    <s v=" — "/>
    <x v="0"/>
    <x v="0"/>
    <s v=" — "/>
    <s v=" —"/>
    <s v="—"/>
    <x v="0"/>
    <s v="006Rg00000cJ0EZIA0"/>
    <x v="1"/>
  </r>
  <r>
    <n v="30"/>
    <s v="006Rg00000cjcUsIAI "/>
    <s v=" 1.67V/1.83F "/>
    <s v=" 4C "/>
    <s v=" — "/>
    <x v="15"/>
    <x v="3"/>
    <s v=" Medium "/>
    <s v=" Customer asked for prebuy program; rep explained &quot;we don't offer pre-buy anymore&quot; and offered fixed 1.83 until April; customer engaged with alternative and said pricing looks good."/>
    <s v="4C"/>
    <x v="1"/>
    <s v="006Rg00000cjcUsIAI"/>
    <x v="0"/>
  </r>
  <r>
    <n v="30"/>
    <s v="006Rg00000cjkf8IAA "/>
    <s v=" 2.05 ? 2.00/gal "/>
    <s v=" 4B "/>
    <s v=" — "/>
    <x v="10"/>
    <x v="2"/>
    <s v=" Medium "/>
    <s v=" Customer flagged $14.95 per-delivery transportation fee, cited &quot;another company that didn't charge any fees whatsoever,&quot; shopped, returned and signed at same fee."/>
    <s v="4B"/>
    <x v="3"/>
    <s v="006Rg00000cjkf8IAA"/>
    <x v="1"/>
  </r>
  <r>
    <n v="31"/>
    <s v="006Rg00000cjmvSIAQ "/>
    <s v=" — "/>
    <s v=" — "/>
    <s v=" — "/>
    <x v="0"/>
    <x v="0"/>
    <s v=" — "/>
    <s v=" —"/>
    <s v="—"/>
    <x v="0"/>
    <s v="006Rg00000cjmvSIAQ"/>
    <x v="0"/>
  </r>
  <r>
    <n v="31"/>
    <s v="006Rg00000cjvfNIAQ "/>
    <s v=" 1.63/gal fixed "/>
    <s v=" 4C "/>
    <s v=" — "/>
    <x v="15"/>
    <x v="3"/>
    <s v=" High "/>
    <s v=" Customer said &quot;I usually like to prepay my propane&quot;; rep offered fixed rate instead; customer replied &quot;Okay, well that's what I was looking for&quot; and proceeded."/>
    <s v="4C"/>
    <x v="1"/>
    <s v="006Rg00000cjvfNIAQ"/>
    <x v="0"/>
  </r>
  <r>
    <n v="31"/>
    <s v="006Rg00000ck101IAA "/>
    <s v=" 1.69/1.84/gal "/>
    <s v=" 4C "/>
    <s v=" — "/>
    <x v="4"/>
    <x v="2"/>
    <s v=" Medium "/>
    <s v=" Customer asked about capped variable &quot;can either go up five or down five&quot;; rep confirmed not offered anymore; customer said &quot;Okay&quot; and continued asking about other fees."/>
    <s v="4C"/>
    <x v="1"/>
    <s v="006Rg00000ck101IAA"/>
    <x v="0"/>
  </r>
  <r>
    <n v="31"/>
    <s v="006Rg00000ckayhIAA "/>
    <s v=" 1.65/1.80/gal "/>
    <s v=" — "/>
    <s v=" — "/>
    <x v="0"/>
    <x v="0"/>
    <s v=" — "/>
    <s v=" —"/>
    <s v="—"/>
    <x v="0"/>
    <s v="006Rg00000ckayhIAA"/>
    <x v="0"/>
  </r>
  <r>
    <n v="31"/>
    <s v="006Rg00000ckccHIAQ "/>
    <s v=" — "/>
    <s v=" — "/>
    <s v=" — "/>
    <x v="0"/>
    <x v="0"/>
    <s v=" — "/>
    <s v=" —"/>
    <s v="—"/>
    <x v="0"/>
    <s v="006Rg00000ckccHIAQ"/>
    <x v="0"/>
  </r>
  <r>
    <n v="31"/>
    <s v="006Rg00000ckLjVIAU "/>
    <s v=" — "/>
    <s v=" — "/>
    <s v=" — "/>
    <x v="0"/>
    <x v="0"/>
    <s v=" — "/>
    <s v=" —"/>
    <s v="—"/>
    <x v="0"/>
    <s v="006Rg00000ckLjVIAU"/>
    <x v="0"/>
  </r>
  <r>
    <n v="31"/>
    <s v="006Rg00000cknpaIAA "/>
    <s v=" — "/>
    <s v=" — "/>
    <s v=" — "/>
    <x v="0"/>
    <x v="0"/>
    <s v=" — "/>
    <s v=" —"/>
    <s v="—"/>
    <x v="0"/>
    <s v="006Rg00000cknpaIAA"/>
    <x v="1"/>
  </r>
  <r>
    <n v="31"/>
    <s v="006Rg00000ckpeMIAQ "/>
    <s v=" — "/>
    <s v=" — "/>
    <s v=" — "/>
    <x v="0"/>
    <x v="0"/>
    <s v=" — "/>
    <s v=" —"/>
    <s v="—"/>
    <x v="0"/>
    <s v="006Rg00000ckpeMIAQ"/>
    <x v="0"/>
  </r>
  <r>
    <n v="31"/>
    <s v="006Rg00000cks1AIAQ "/>
    <s v=" 1.87/1.96/gal "/>
    <s v=" — "/>
    <s v=" — "/>
    <x v="0"/>
    <x v="0"/>
    <s v=" — "/>
    <s v=" —"/>
    <s v="—"/>
    <x v="0"/>
    <s v="006Rg00000cks1AIAQ"/>
    <x v="0"/>
  </r>
  <r>
    <n v="31"/>
    <s v="006Rg00000cl1fWIAQ "/>
    <s v=" — "/>
    <s v=" — "/>
    <s v=" — "/>
    <x v="0"/>
    <x v="0"/>
    <s v=" — "/>
    <s v=" —"/>
    <s v="—"/>
    <x v="0"/>
    <s v="006Rg00000cl1fWIAQ"/>
    <x v="1"/>
  </r>
  <r>
    <n v="31"/>
    <s v="006Rg00000cN71KIAS "/>
    <s v=" 2.40/gal "/>
    <s v=" 4C "/>
    <s v=" — "/>
    <x v="1"/>
    <x v="6"/>
    <s v=" Medium "/>
    <s v=" Customer asked &quot;is there... an option to purchase the tank so I don't have to rent that every year?&quot;; rep said tanks not sold; customer flagged rental as year-over-year expense and ended undetermined."/>
    <s v="4C"/>
    <x v="1"/>
    <s v="006Rg00000cN71KIAS"/>
    <x v="0"/>
  </r>
  <r>
    <n v="31"/>
    <s v="006Rg00000cNI81IAG "/>
    <s v=" 1.65/gal fixed "/>
    <s v=" 4C "/>
    <s v=" — "/>
    <x v="15"/>
    <x v="6"/>
    <s v=" Medium "/>
    <s v=" Customer asked &quot;do you guys have a program where you can prepay for a locked-in price&quot;; rep offered fixed rate at 1.65 with $49 enrollment; customer said &quot;can I get back with you&quot; without objection."/>
    <s v="4C"/>
    <x v="1"/>
    <s v="006Rg00000cNI81IAG"/>
    <x v="0"/>
  </r>
  <r>
    <n v="31"/>
    <s v="006Rg00000cnjklIAA "/>
    <s v=" 1.82/1.83/gal "/>
    <s v=" — "/>
    <s v=" — "/>
    <x v="0"/>
    <x v="0"/>
    <s v=" — "/>
    <s v=" —"/>
    <s v="—"/>
    <x v="0"/>
    <s v="006Rg00000cnjklIAA"/>
    <x v="0"/>
  </r>
  <r>
    <n v="31"/>
    <s v="006Rg00000cNM3ZIAW "/>
    <s v=" 1.76/1.75/gal "/>
    <s v=" 4C "/>
    <s v=" — "/>
    <x v="1"/>
    <x v="2"/>
    <s v=" Medium "/>
    <s v=" Customer asked &quot;You don't sell tanks, do you?&quot;; rep confirmed lease only; customer said &quot;Only lease the tanks&quot; and moved on to other questions without pushback."/>
    <s v="4C"/>
    <x v="1"/>
    <s v="006Rg00000cNM3ZIAW"/>
    <x v="0"/>
  </r>
  <r>
    <n v="31"/>
    <s v="006Rg00000cNM3ZIAW "/>
    <s v=" 1.76/1.75/gal "/>
    <s v=" 4B "/>
    <s v=" — "/>
    <x v="11"/>
    <x v="6"/>
    <s v=" Medium "/>
    <s v=" Customer asked &quot;what happens if I don't use enough of fuel in the first year?&quot;; rep explained ~$145 MUC below 125 gallons; customer acknowledged uncertainty on usage and ended holding quote."/>
    <s v="4B"/>
    <x v="3"/>
    <s v="006Rg00000cNM3ZIAW"/>
    <x v="0"/>
  </r>
  <r>
    <n v="31"/>
    <s v="006Rg00000cNRMbIAO "/>
    <s v=" 2.05/2.36/gal "/>
    <s v=" 4C "/>
    <s v=" — "/>
    <x v="1"/>
    <x v="2"/>
    <s v=" Medium "/>
    <s v=" Customer said &quot;$480 a year... I could get tanks for cheaper than that for the rental&quot;; rep confirmed tanks not sold; customer said &quot;I'll have to get back to you&quot; without further pursuit."/>
    <s v="4C"/>
    <x v="1"/>
    <s v="006Rg00000cNRMbIAO"/>
    <x v="0"/>
  </r>
  <r>
    <n v="31"/>
    <s v="006Rg00000cntThIAI "/>
    <s v=" 2.07/2.13/gal "/>
    <s v=" 4C "/>
    <s v=" — "/>
    <x v="15"/>
    <x v="3"/>
    <s v=" High "/>
    <s v=" Customer asked &quot;what's it if you buy ahead... I usually pre-buy for the year&quot;; rep explained fixed-price plan at 2.13 with same lock-in behaviour; customer said &quot;that is a lot better&quot; and enrolled."/>
    <s v="4C"/>
    <x v="1"/>
    <s v="006Rg00000cntThIAI"/>
    <x v="1"/>
  </r>
  <r>
    <n v="31"/>
    <s v="006Rg00000cNzjFIAS "/>
    <s v=" 1.78/1.89/gal "/>
    <s v=" — "/>
    <s v=" — "/>
    <x v="0"/>
    <x v="0"/>
    <s v=" — "/>
    <s v=" —"/>
    <s v="—"/>
    <x v="0"/>
    <s v="006Rg00000cNzjFIAS"/>
    <x v="1"/>
  </r>
  <r>
    <n v="32"/>
    <s v="006Rg00000cO1oHIAS "/>
    <s v=" 2.04/gal "/>
    <s v=" — "/>
    <s v=" — "/>
    <x v="0"/>
    <x v="0"/>
    <s v=" — "/>
    <s v=" —"/>
    <s v="—"/>
    <x v="0"/>
    <s v="006Rg00000cO1oHIAS"/>
    <x v="1"/>
  </r>
  <r>
    <n v="32"/>
    <s v="006Rg00000co4QjIAI "/>
    <s v=" 1.92/gal "/>
    <s v=" 4B "/>
    <s v=" — "/>
    <x v="6"/>
    <x v="2"/>
    <s v=" Medium "/>
    <s v=" Customer reacts &quot;Holy crap&quot; to $165/hr labor rate for pool-heater install; rep defers cost to site-visit estimate; customer proceeds and signs T&amp;Cs."/>
    <s v="4B"/>
    <x v="3"/>
    <s v="006Rg00000co4QjIAI"/>
    <x v="1"/>
  </r>
  <r>
    <n v="32"/>
    <s v="006Rg00000co9wfIAA "/>
    <s v=" 1.97/gal "/>
    <s v=" — "/>
    <s v=" — "/>
    <x v="0"/>
    <x v="0"/>
    <s v=" — "/>
    <s v=" —"/>
    <s v="—"/>
    <x v="0"/>
    <s v="006Rg00000co9wfIAA"/>
    <x v="0"/>
  </r>
  <r>
    <n v="32"/>
    <s v="006Rg00000cohlRIAQ "/>
    <s v=" — "/>
    <s v=" — "/>
    <s v=" — "/>
    <x v="0"/>
    <x v="0"/>
    <s v=" — "/>
    <s v=" —"/>
    <s v="—"/>
    <x v="0"/>
    <s v="006Rg00000cohlRIAQ"/>
    <x v="0"/>
  </r>
  <r>
    <n v="32"/>
    <s v="006Rg00000cOHMnIAO "/>
    <s v=" 2.04/gal "/>
    <s v=" 4D "/>
    <s v=" Yes "/>
    <x v="9"/>
    <x v="5"/>
    <s v=" Medium "/>
    <s v=" Customer has no email/internet across 4 segments; rep cannot send DocuSign supply agreement; deal stalled awaiting future cell-phone signing workaround."/>
    <s v="4D"/>
    <x v="4"/>
    <s v="006Rg00000cOHMnIAO"/>
    <x v="0"/>
  </r>
  <r>
    <n v="32"/>
    <s v="006Rg00000cOHMnIAO "/>
    <s v=" 2.04/gal "/>
    <s v=" 4C "/>
    <s v=" — "/>
    <x v="8"/>
    <x v="2"/>
    <s v=" Medium "/>
    <s v=" Customer asks for one-year arrangement (summer home); rep says only 3-year offered; customer replies &quot;That would be fine&quot; and continues."/>
    <s v="4C"/>
    <x v="1"/>
    <s v="006Rg00000cOHMnIAO"/>
    <x v="0"/>
  </r>
  <r>
    <n v="32"/>
    <s v="006Rg00000cooTZIAY "/>
    <s v=" 2.52/gal "/>
    <s v=" — "/>
    <s v=" — "/>
    <x v="0"/>
    <x v="0"/>
    <s v=" — "/>
    <s v=" —"/>
    <s v="—"/>
    <x v="0"/>
    <s v="006Rg00000cooTZIAY"/>
    <x v="1"/>
  </r>
  <r>
    <n v="32"/>
    <s v="006Rg00000cOOwCIAW "/>
    <s v=" 1.66V/1.81F "/>
    <s v=" 4C "/>
    <s v=" — "/>
    <x v="15"/>
    <x v="2"/>
    <s v=" Medium "/>
    <s v=" Customer asks &quot;what happens if you want to pre-buy?&quot;; rep confirms no prebuy year one, fixed rate &quot;better than pre-buy&quot; per manager; customer continues shopping without committing."/>
    <s v="4C"/>
    <x v="1"/>
    <s v="006Rg00000cOOwCIAW"/>
    <x v="0"/>
  </r>
  <r>
    <n v="32"/>
    <s v="006Rg00000cOOwCIAW "/>
    <s v=" 1.66V/1.81F "/>
    <s v=" 4C "/>
    <s v=" — "/>
    <x v="8"/>
    <x v="2"/>
    <s v=" Medium "/>
    <s v=" Customer questions 3-year lock: &quot;I can't be locked into that&quot;; rep clarifies commitment is nominal for customer-owned tank; customer accepts framing and moves on."/>
    <s v="4C"/>
    <x v="1"/>
    <s v="006Rg00000cOOwCIAW"/>
    <x v="0"/>
  </r>
  <r>
    <n v="32"/>
    <s v="006Rg00000coSUhIAM "/>
    <s v=" 1.90V/1.99F "/>
    <s v=" 4C "/>
    <s v=" — "/>
    <x v="15"/>
    <x v="2"/>
    <s v=" Medium "/>
    <s v=" Customer asks about prebuy; rep says not offered year one, only fixed; customer accepts fixed framing (&quot;That would be fine&quot;) and continues shopping."/>
    <s v="4C"/>
    <x v="1"/>
    <s v="006Rg00000coSUhIAM"/>
    <x v="0"/>
  </r>
  <r>
    <n v="32"/>
    <s v="006Rg00000coSUhIAM "/>
    <s v=" 1.90V/1.99F "/>
    <s v=" 4A "/>
    <s v=" — "/>
    <x v="24"/>
    <x v="2"/>
    <s v=" Low-Medium "/>
    <s v=" Customer asks &quot;ballpark, is it that the rate goes up higher&quot; year 2; rep says &quot;$227&quot; average; customer accepts and thanks rep — inquiry, not resistance."/>
    <s v="4A"/>
    <x v="2"/>
    <s v="006Rg00000coSUhIAM"/>
    <x v="0"/>
  </r>
  <r>
    <n v="32"/>
    <s v="006Rg00000coUY5IAM "/>
    <s v=" 3.07/gal "/>
    <s v=" 4E "/>
    <s v=" — "/>
    <x v="16"/>
    <x v="2"/>
    <s v=" Medium "/>
    <s v=" Customer: &quot;Why does it take so long?&quot; (1.5-week install); rep explains scheduling backlog; customer defers, then re-engages in Seg 2 to proceed."/>
    <s v="4E"/>
    <x v="6"/>
    <s v="006Rg00000coUY5IAM"/>
    <x v="1"/>
  </r>
  <r>
    <n v="32"/>
    <s v="006Rg00000cOWsFIAW "/>
    <s v=" 3.72 ? 3.67/gal "/>
    <s v=" — "/>
    <s v=" — "/>
    <x v="0"/>
    <x v="0"/>
    <s v=" — "/>
    <s v=" —"/>
    <s v="—"/>
    <x v="0"/>
    <s v="006Rg00000cOWsFIAW"/>
    <x v="0"/>
  </r>
  <r>
    <n v="32"/>
    <s v="006Rg00000cOyRvIAK "/>
    <s v=" — "/>
    <s v=" — "/>
    <s v=" — "/>
    <x v="0"/>
    <x v="0"/>
    <s v=" — "/>
    <s v=" —"/>
    <s v="—"/>
    <x v="0"/>
    <s v="006Rg00000cOyRvIAK"/>
    <x v="0"/>
  </r>
  <r>
    <n v="32"/>
    <s v="006Rg00000cP0WoIAK "/>
    <s v=" — "/>
    <s v=" 4B "/>
    <s v=" — "/>
    <x v="7"/>
    <x v="2"/>
    <s v=" Medium "/>
    <s v=" Customer surprised by $39.99/mo generator-package rental: &quot;that's an extra charge I wasn't planning on&quot;; rep explains no MUC offset; customer accepts and signs agreement."/>
    <s v="4B"/>
    <x v="3"/>
    <s v="006Rg00000cP0WoIAK"/>
    <x v="1"/>
  </r>
  <r>
    <n v="32"/>
    <s v="006Rg00000cqb0oIAA "/>
    <s v=" 1.795/gal "/>
    <s v=" 4A "/>
    <s v=" — "/>
    <x v="2"/>
    <x v="2"/>
    <s v=" Medium "/>
    <s v=" Customer notes Superior rate is &quot;half the price of the people that are already there&quot;; comparison favors Superior; customer wants to proceed, waiting on camp owner to release tanks."/>
    <s v="4A"/>
    <x v="2"/>
    <s v="006Rg00000cqb0oIAA"/>
    <x v="1"/>
  </r>
  <r>
    <n v="32"/>
    <s v="006Rg00000cQcTaIAK "/>
    <s v=" 2.24/gal "/>
    <s v=" — "/>
    <s v=" — "/>
    <x v="0"/>
    <x v="0"/>
    <s v=" — "/>
    <s v=" —"/>
    <s v="—"/>
    <x v="0"/>
    <s v="006Rg00000cQcTaIAK"/>
    <x v="1"/>
  </r>
  <r>
    <n v="32"/>
    <s v="006Rg00000cqdDtIAI "/>
    <s v=" 1.76V/1.91F "/>
    <s v=" 4B "/>
    <s v=" — "/>
    <x v="22"/>
    <x v="2"/>
    <s v=" Medium "/>
    <s v=" Customer reacts &quot;Oh, okay&quot; to $99 safety-inspection fee for own-tank setup then says &quot;let me get back to you&quot;; disengages without specific pushback tied to fee."/>
    <s v="4B"/>
    <x v="3"/>
    <s v="006Rg00000cqdDtIAI"/>
    <x v="0"/>
  </r>
  <r>
    <n v="32"/>
    <s v="006Rg00000cQg7PIAS "/>
    <s v=" 1.73/gal "/>
    <s v=" 4B "/>
    <s v=" — "/>
    <x v="17"/>
    <x v="6"/>
    <s v=" Medium "/>
    <s v=" Own-tank customer stated 8-month cycle and will-call at 10%; $99 leak test plus unavoidable $29.95/fill (waiver requires auto-delivery) hit her stated profile; ended shopping, no competing cause."/>
    <s v="4B"/>
    <x v="3"/>
    <s v="006Rg00000cQg7PIAS"/>
    <x v="0"/>
  </r>
  <r>
    <n v="32"/>
    <s v="006Rg00000cQg7PIAS "/>
    <s v=" 1.73/gal "/>
    <s v=" 4B "/>
    <s v=" — "/>
    <x v="10"/>
    <x v="2"/>
    <s v=" Medium "/>
    <s v=" Customer states &quot;I don't like any surprises&quot; learning of $29.95 will-call transportation fee; rep clarifies auto-delivery waives it; customer accepts and continues."/>
    <s v="4B"/>
    <x v="3"/>
    <s v="006Rg00000cQg7PIAS"/>
    <x v="0"/>
  </r>
  <r>
    <n v="33"/>
    <s v="006Rg00000cQj6rIAC "/>
    <s v=" 1.76/gal "/>
    <s v=" 4D "/>
    <s v=" Yes "/>
    <x v="9"/>
    <x v="5"/>
    <s v=" Medium "/>
    <s v=" Customer offered to sign at office; rep required e-sign only, forcing workaround through sister's email at Barney's Lawn Care to complete setup."/>
    <s v="4D"/>
    <x v="4"/>
    <s v="006Rg00000cQj6rIAC"/>
    <x v="1"/>
  </r>
  <r>
    <n v="33"/>
    <s v="006Rg00000cqoPSIAY "/>
    <s v=" 1.52V/1.61F/gal "/>
    <s v=" — "/>
    <s v=" — "/>
    <x v="0"/>
    <x v="0"/>
    <s v=" — "/>
    <s v=" —"/>
    <s v="—"/>
    <x v="0"/>
    <s v="006Rg00000cqoPSIAY"/>
    <x v="0"/>
  </r>
  <r>
    <n v="33"/>
    <s v="006Rg00000cqpBsIAI "/>
    <s v=" 1.69/gal "/>
    <s v=" 4C "/>
    <s v=" — "/>
    <x v="1"/>
    <x v="2"/>
    <s v=" Medium "/>
    <s v=" Customer asked &quot;if I want to buy the tank do I have the choice&quot;; rep replied &quot;we don't sell our tanks, we only rent them&quot;; customer accepted lease and moved to consult wife."/>
    <s v="4C"/>
    <x v="1"/>
    <s v="006Rg00000cqpBsIAI"/>
    <x v="0"/>
  </r>
  <r>
    <n v="33"/>
    <s v="006Rg00000cqpBsIAI "/>
    <s v=" 1.69/gal "/>
    <s v=" 4E "/>
    <s v=" — "/>
    <x v="13"/>
    <x v="2"/>
    <s v=" Medium "/>
    <s v=" Customer asked for 200-lb cylinder; rep confirmed Superior does not fill cylinders, minimum is 60-gal tank; customer said &quot;forget about that&quot; and accepted 120-gal."/>
    <s v="4E"/>
    <x v="6"/>
    <s v="006Rg00000cqpBsIAI"/>
    <x v="0"/>
  </r>
  <r>
    <n v="33"/>
    <s v="006Rg00000cqSf3IAE "/>
    <s v=" 2.17/gal "/>
    <s v=" — "/>
    <s v=" — "/>
    <x v="0"/>
    <x v="0"/>
    <s v=" — "/>
    <s v=" —"/>
    <s v="—"/>
    <x v="0"/>
    <s v="006Rg00000cqSf3IAE"/>
    <x v="0"/>
  </r>
  <r>
    <n v="33"/>
    <s v="006Rg00000cqUs9IAE "/>
    <s v=" 1.95/gal "/>
    <s v=" 4C "/>
    <s v=" — "/>
    <x v="15"/>
    <x v="3"/>
    <s v=" High "/>
    <s v=" Customer wanted pre-buy like Suburban; rep explained no pre-buy but fixed rate holds price with no upfront payment; customer accepted fixed rate and proceeded to setup."/>
    <s v="4C"/>
    <x v="1"/>
    <s v="006Rg00000cqUs9IAE"/>
    <x v="0"/>
  </r>
  <r>
    <n v="33"/>
    <s v="006Rg00000cqXGgIAM "/>
    <s v=" 2.40 ? 2.90/gal "/>
    <s v=" 4A "/>
    <s v=" Yes "/>
    <x v="39"/>
    <x v="5"/>
    <s v=" High "/>
    <s v=" Customer cited Terry at Lictus quoting $2.40 and demanded concession; rep could not adjust from system-quoted $2.90 but logged note for accounts to honor 2.40; deal proceeded with drag."/>
    <s v="4A"/>
    <x v="2"/>
    <s v="006Rg00000cqXGgIAM"/>
    <x v="0"/>
  </r>
  <r>
    <n v="33"/>
    <s v="006Rg00000cQxPxIAK "/>
    <s v=" — "/>
    <s v=" — "/>
    <s v=" — "/>
    <x v="0"/>
    <x v="0"/>
    <s v=" — "/>
    <s v=" —"/>
    <s v="—"/>
    <x v="0"/>
    <s v="006Rg00000cQxPxIAK"/>
    <x v="1"/>
  </r>
  <r>
    <n v="33"/>
    <s v="006Rg00000cqy8iIAA "/>
    <s v=" 1.78/gal "/>
    <s v=" 4C "/>
    <s v=" — "/>
    <x v="4"/>
    <x v="3"/>
    <s v=" High "/>
    <s v=" Customer feared intro-rate trap (&quot;next year it's like $3 a gallon&quot;); rep explained usage-based pricing model, no first-fill discount; customer accepted and signed."/>
    <s v="4C"/>
    <x v="1"/>
    <s v="006Rg00000cqy8iIAA"/>
    <x v="1"/>
  </r>
  <r>
    <n v="33"/>
    <s v="006Rg00000cr0f7IAA "/>
    <s v=" 1.88V/1.96F/gal "/>
    <s v=" — "/>
    <s v=" — "/>
    <x v="0"/>
    <x v="0"/>
    <s v=" — "/>
    <s v=" —"/>
    <s v="—"/>
    <x v="0"/>
    <s v="006Rg00000cr0f7IAA"/>
    <x v="0"/>
  </r>
  <r>
    <n v="33"/>
    <s v="006Rg00000cR0PRIA0 "/>
    <s v=" 1.81/gal "/>
    <s v=" 4B "/>
    <s v=" Yes "/>
    <x v="22"/>
    <x v="5"/>
    <s v=" High "/>
    <s v=" Customer objected to $99 safety check as making price uncompetitive vs other suppliers; rep escalated to manager who waived the fee, deal proceeded."/>
    <s v="4B"/>
    <x v="3"/>
    <s v="006Rg00000cR0PRIA0"/>
    <x v="1"/>
  </r>
  <r>
    <n v="33"/>
    <s v="006Rg00000cR7VlIAK "/>
    <s v=" 2.26V/2.30F/gal "/>
    <s v=" — "/>
    <s v=" — "/>
    <x v="0"/>
    <x v="0"/>
    <s v=" — "/>
    <s v=" —"/>
    <s v="—"/>
    <x v="0"/>
    <s v="006Rg00000cR7VlIAK"/>
    <x v="1"/>
  </r>
  <r>
    <n v="33"/>
    <s v="006Rg00000crb8RIAQ "/>
    <s v=" 1.90/gal "/>
    <s v=" 4F "/>
    <s v=" Yes "/>
    <x v="1"/>
    <x v="1"/>
    <s v=" High "/>
    <s v=" Customer wanted 3-yr fixed $1.90 promo with waived rental/transport; rep confirmed promo excludes own-tank customers; customer declined and asked to be removed from list."/>
    <s v="4F"/>
    <x v="5"/>
    <s v="006Rg00000crb8RIAQ"/>
    <x v="0"/>
  </r>
  <r>
    <n v="33"/>
    <s v="006Rg00000crg9iIAA "/>
    <s v=" 2.34F/2.51V/gal "/>
    <s v=" 4B "/>
    <s v=" — "/>
    <x v="44"/>
    <x v="2"/>
    <s v=" Medium "/>
    <s v=" Customer noted $49 fixed-price enrollment fee: &quot;I didn't get that from other companies, they don't do that&quot;; comment absorbed, customer handed decision to wife without concession."/>
    <s v="4B"/>
    <x v="3"/>
    <s v="006Rg00000crg9iIAA"/>
    <x v="0"/>
  </r>
  <r>
    <n v="33"/>
    <s v="006Rg00000crhCDIAY "/>
    <s v=" 1.97V ? 2.12F/gal "/>
    <s v=" 4A "/>
    <s v=" Yes "/>
    <x v="39"/>
    <x v="5"/>
    <s v=" Medium "/>
    <s v=" Customer noted fixed rate came back higher than initial variable quote and combined with delivery fees questioned worth of switching; deal stalled pending review with wife."/>
    <s v="4A"/>
    <x v="2"/>
    <s v="006Rg00000crhCDIAY"/>
    <x v="1"/>
  </r>
  <r>
    <n v="33"/>
    <s v="006Rg00000crhCDIAY "/>
    <s v=" 1.97V ? 2.12F/gal "/>
    <s v=" 4B "/>
    <s v=" — "/>
    <x v="10"/>
    <x v="2"/>
    <s v=" Medium "/>
    <s v=" Customer added $14.95 delivery per tank location into bundled cost concern (&quot;by the time I add it up&quot;); noted alongside rate but not separately pursued."/>
    <s v="4B"/>
    <x v="3"/>
    <s v="006Rg00000crhCDIAY"/>
    <x v="1"/>
  </r>
  <r>
    <n v="33"/>
    <s v="006Rg00000crlanIAA "/>
    <s v=" 1.90/gal "/>
    <s v=" — "/>
    <s v=" — "/>
    <x v="0"/>
    <x v="0"/>
    <s v=" — "/>
    <s v=" —"/>
    <s v="—"/>
    <x v="0"/>
    <s v="006Rg00000crlanIAA"/>
    <x v="0"/>
  </r>
  <r>
    <n v="33"/>
    <s v="006Rg00000cRLgoIAG "/>
    <s v=" — "/>
    <s v=" — "/>
    <s v=" — "/>
    <x v="0"/>
    <x v="0"/>
    <s v=" — "/>
    <s v=" —"/>
    <s v="—"/>
    <x v="0"/>
    <s v="006Rg00000cRLgoIAG"/>
    <x v="0"/>
  </r>
  <r>
    <n v="33"/>
    <s v="006Rg00000croVRIAY "/>
    <s v=" — "/>
    <s v=" — "/>
    <s v=" — "/>
    <x v="0"/>
    <x v="0"/>
    <s v=" — "/>
    <s v=" —"/>
    <s v="—"/>
    <x v="0"/>
    <s v="006Rg00000croVRIAY"/>
    <x v="1"/>
  </r>
  <r>
    <n v="33"/>
    <s v="006Rg00000crRFWIA2 "/>
    <s v=" 2.12/gal "/>
    <s v=" — "/>
    <s v=" — "/>
    <x v="0"/>
    <x v="0"/>
    <s v=" — "/>
    <s v=" —"/>
    <s v="—"/>
    <x v="0"/>
    <s v="006Rg00000crRFWIA2"/>
    <x v="1"/>
  </r>
  <r>
    <n v="33"/>
    <s v="006Rg00000cRtqXIAS "/>
    <s v=" 1.66V/1.69F/gal "/>
    <s v=" 4B "/>
    <s v=" Yes "/>
    <x v="34"/>
    <x v="1"/>
    <s v=" High "/>
    <s v=" Next-day callback: &quot;you guys have way too many fees. we're all set&quot; — declined citing fee stack ($100 rental, $29.90/$14.95 delivery, $49 enrollment)."/>
    <s v="4B"/>
    <x v="3"/>
    <s v="006Rg00000cRtqXIAS"/>
    <x v="0"/>
  </r>
  <r>
    <n v="33"/>
    <s v="006Rg00000crWS5IAM "/>
    <s v=" 2.03/gal "/>
    <s v=" 4C "/>
    <s v=" — "/>
    <x v="15"/>
    <x v="3"/>
    <s v=" High "/>
    <s v=" Customer asked for pre-buy; rep offered fixed-rate lock with no upfront payment as functional equivalent; customer accepted alternative and moved to discuss with husband."/>
    <s v="4C"/>
    <x v="1"/>
    <s v="006Rg00000crWS5IAM"/>
    <x v="0"/>
  </r>
  <r>
    <n v="33"/>
    <s v="006Rg00000crWS5IAM "/>
    <s v=" 2.03/gal "/>
    <s v=" 4A "/>
    <s v=" Yes "/>
    <x v="3"/>
    <x v="1"/>
    <s v=" Medium "/>
    <s v=" Callback: customer cited mother paying $3.79 vs her $2.03 quote as unfair practice; declined stating &quot;I won't be on as a new customer because I think that's really unfair.&quot;"/>
    <s v="4A"/>
    <x v="2"/>
    <s v="006Rg00000crWS5IAM"/>
    <x v="0"/>
  </r>
  <r>
    <n v="37"/>
    <s v="006Rg00000cXY8IIAW "/>
    <s v=" 2.03F/1.96V/gal "/>
    <s v=" — "/>
    <s v=" — "/>
    <x v="0"/>
    <x v="0"/>
    <s v=" — "/>
    <s v=" —"/>
    <s v="—"/>
    <x v="0"/>
    <s v="006Rg00000cXY8IIAW"/>
    <x v="0"/>
  </r>
  <r>
    <n v="37"/>
    <s v="006Rg00000cY3KAIA0 "/>
    <s v=" — "/>
    <s v=" — "/>
    <s v=" — "/>
    <x v="0"/>
    <x v="0"/>
    <s v=" — "/>
    <s v=" —"/>
    <s v="—"/>
    <x v="0"/>
    <s v="006Rg00000cY3KAIA0"/>
    <x v="0"/>
  </r>
  <r>
    <n v="37"/>
    <s v="006Rg00000cysfgIAA "/>
    <s v=" 2.08/gal "/>
    <s v=" 4E "/>
    <s v=" — "/>
    <x v="13"/>
    <x v="2"/>
    <s v=" Medium "/>
    <s v=" Customer's existing skinny sub-100 lb tank not fillable (&quot;we don't deliver to&quot; that size); customer pivoted to lease quote and continued engaging"/>
    <s v="4E"/>
    <x v="6"/>
    <s v="006Rg00000cysfgIAA"/>
    <x v="0"/>
  </r>
  <r>
    <n v="37"/>
    <s v="006Rg00000cysfgIAA "/>
    <s v=" 2.08/gal "/>
    <s v=" 4B "/>
    <s v=" — "/>
    <x v="5"/>
    <x v="6"/>
    <s v=" Medium "/>
    <s v=" At stated 15 gal/yr cook-only usage, $70 rental + $120 MUC ($190/yr) vastly exceeds ~$31 propane spend; customer still shopping July 2"/>
    <s v="4B"/>
    <x v="3"/>
    <s v="006Rg00000cysfgIAA"/>
    <x v="0"/>
  </r>
  <r>
    <n v="37"/>
    <s v="006Rg00000cytgVIAQ "/>
    <s v=" — "/>
    <s v=" 4E "/>
    <s v=" Yes "/>
    <x v="21"/>
    <x v="1"/>
    <s v=" High "/>
    <s v=" Customer wanted 100-lb cylinder visual cert + fill; rep confirms storefronts no longer provide that service; customer ends call"/>
    <s v="4E"/>
    <x v="6"/>
    <s v="006Rg00000cytgVIAQ"/>
    <x v="0"/>
  </r>
  <r>
    <n v="37"/>
    <s v="006Rg00000cYYPZIA4 "/>
    <s v=" 1.83F/1.73V/gal "/>
    <s v=" 4C "/>
    <s v=" — "/>
    <x v="15"/>
    <x v="6"/>
    <s v=" Medium "/>
    <s v=" Customer asked for &quot;summer pre-buy or like summer fill and then pre-buy for winter&quot;; rep: &quot;We don't offer a pre-buy&quot;; customer defers to husband, no re-engagement in remaining segment"/>
    <s v="4C"/>
    <x v="1"/>
    <s v="006Rg00000cYYPZIA4"/>
    <x v="0"/>
  </r>
  <r>
    <n v="37"/>
    <s v="006Rg00000cz0qIIAQ "/>
    <s v=" 1.96/gal "/>
    <s v=" 4D "/>
    <s v=" — "/>
    <x v="9"/>
    <x v="6"/>
    <s v=" Medium "/>
    <s v=" Rep required signed 3-yr lease, credit check, auto-delivery before site assessment; customer wanted estimate only, agreed on call, then never returned paperwork despite multiple follow-up voicemails"/>
    <s v="4D"/>
    <x v="4"/>
    <s v="006Rg00000cz0qIIAQ"/>
    <x v="0"/>
  </r>
  <r>
    <n v="37"/>
    <s v="006Rg00000cZ2ibIAC "/>
    <s v=" — "/>
    <s v=" — "/>
    <s v=" — "/>
    <x v="0"/>
    <x v="0"/>
    <s v=" — "/>
    <s v=" —"/>
    <s v="—"/>
    <x v="0"/>
    <s v="006Rg00000cZ2ibIAC"/>
    <x v="0"/>
  </r>
  <r>
    <n v="37"/>
    <s v="006Rg00000cz96vIAA "/>
    <s v=" 1.55F/1.52V/gal "/>
    <s v=" — "/>
    <s v=" — "/>
    <x v="0"/>
    <x v="0"/>
    <s v=" — "/>
    <s v=" —"/>
    <s v="—"/>
    <x v="0"/>
    <s v="006Rg00000cz96vIAA"/>
    <x v="0"/>
  </r>
  <r>
    <n v="37"/>
    <s v="006Rg00000czAW1IAM "/>
    <s v=" 2.17/gal "/>
    <s v=" 4B "/>
    <s v=" — "/>
    <x v="22"/>
    <x v="2"/>
    <s v=" Medium "/>
    <s v=" Customer pushed back on $99 leak-test fee (&quot;they should pay me $100, this is ridiculous&quot;) but proceeded to sign, no concession granted"/>
    <s v="4B"/>
    <x v="3"/>
    <s v="006Rg00000czAW1IAM"/>
    <x v="0"/>
  </r>
  <r>
    <n v="37"/>
    <s v="006Rg00000czDP3IAM "/>
    <s v=" 1.96F/1.88V/gal "/>
    <s v=" — "/>
    <s v=" — "/>
    <x v="0"/>
    <x v="0"/>
    <s v=" — "/>
    <s v=" —"/>
    <s v="—"/>
    <x v="0"/>
    <s v="006Rg00000czDP3IAM"/>
    <x v="1"/>
  </r>
  <r>
    <n v="37"/>
    <s v="006Rg00000czFsIIAU "/>
    <s v=" — "/>
    <s v=" 4F "/>
    <s v=" — "/>
    <x v="1"/>
    <x v="2"/>
    <s v=" Medium "/>
    <s v=" Customer wanted $500 new-customer promo; rep confirms promo excludes customer-owned tanks; customer chose ownership path and continued engaging on cust-owned pricing"/>
    <s v="4F"/>
    <x v="5"/>
    <s v="006Rg00000czFsIIAU"/>
    <x v="0"/>
  </r>
  <r>
    <n v="37"/>
    <s v="006Rg00000czhVCIAY "/>
    <s v=" 2.83/gal "/>
    <s v=" 4B "/>
    <s v=" Yes "/>
    <x v="17"/>
    <x v="1"/>
    <s v=" High "/>
    <s v=" Seg 2 callback: $190/yr fixed fees (rental $70 + MUC $120) + $30 delivery on 20-25 gal cook-only made deal uneconomical; customer explicitly declined"/>
    <s v="4B"/>
    <x v="3"/>
    <s v="006Rg00000czhVCIAY"/>
    <x v="0"/>
  </r>
  <r>
    <n v="37"/>
    <s v="006Rg00000czhVCIAY "/>
    <s v=" 2.83/gal "/>
    <s v=" 4F "/>
    <s v=" — "/>
    <x v="1"/>
    <x v="2"/>
    <s v=" Medium "/>
    <s v=" Wanted $500 new-customer credit; rep confirms leased-tank-only (&quot;this promotion is only good for rented tanks&quot;); customer accepted but ultimately died on economics"/>
    <s v="4F"/>
    <x v="5"/>
    <s v="006Rg00000czhVCIAY"/>
    <x v="0"/>
  </r>
  <r>
    <n v="37"/>
    <s v="006Rg00000czizAIAQ "/>
    <s v=" 1.67/gal "/>
    <s v=" — "/>
    <s v=" — "/>
    <x v="0"/>
    <x v="0"/>
    <s v=" — "/>
    <s v=" —"/>
    <s v="—"/>
    <x v="0"/>
    <s v="006Rg00000czizAIAQ"/>
    <x v="1"/>
  </r>
  <r>
    <n v="37"/>
    <s v="006Rg00000czj5bIAA "/>
    <s v=" 1.79F/1.64V/gal "/>
    <s v=" — "/>
    <s v=" — "/>
    <x v="0"/>
    <x v="0"/>
    <s v=" — "/>
    <s v=" —"/>
    <s v="—"/>
    <x v="0"/>
    <s v="006Rg00000czj5bIAA"/>
    <x v="0"/>
  </r>
  <r>
    <n v="37"/>
    <s v="006Rg00000czMNVIA2 "/>
    <s v=" 1.92/gal "/>
    <s v=" — "/>
    <s v=" — "/>
    <x v="0"/>
    <x v="0"/>
    <s v=" — "/>
    <s v=" —"/>
    <s v="—"/>
    <x v="0"/>
    <s v="006Rg00000czMNVIA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F8A8C-77B9-47CC-9FF8-360C6F2E791E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0" firstHeaderRow="1" firstDataRow="2" firstDataCol="1" rowPageCount="1" colPageCount="1"/>
  <pivotFields count="13"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Row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n="Closed Won SQL" x="1"/>
        <item n="Open SQL"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2"/>
  </colFields>
  <colItems count="2">
    <i>
      <x/>
    </i>
    <i>
      <x v="1"/>
    </i>
  </colItems>
  <pageFields count="1">
    <pageField fld="6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CB608-B6BF-488E-9154-C82436F9262D}" name="PivotTable10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I27:K33" firstHeaderRow="1" firstDataRow="2" firstDataCol="1" rowPageCount="2" colPageCount="1"/>
  <pivotFields count="13">
    <pivotField showAll="0"/>
    <pivotField dataField="1" showAll="0"/>
    <pivotField showAll="0"/>
    <pivotField showAll="0"/>
    <pivotField showAll="0"/>
    <pivotField axis="axisRow" showAll="0" sortType="descending">
      <items count="46">
        <item x="0"/>
        <item x="42"/>
        <item x="44"/>
        <item x="21"/>
        <item x="8"/>
        <item x="30"/>
        <item x="31"/>
        <item x="2"/>
        <item x="20"/>
        <item x="10"/>
        <item x="27"/>
        <item x="38"/>
        <item x="13"/>
        <item x="19"/>
        <item x="24"/>
        <item x="41"/>
        <item x="22"/>
        <item x="37"/>
        <item x="14"/>
        <item x="6"/>
        <item x="28"/>
        <item x="36"/>
        <item x="11"/>
        <item x="23"/>
        <item x="3"/>
        <item n=" ownership / purchase" x="1"/>
        <item x="25"/>
        <item x="32"/>
        <item x="15"/>
        <item x="39"/>
        <item x="18"/>
        <item x="9"/>
        <item x="43"/>
        <item x="4"/>
        <item x="26"/>
        <item x="5"/>
        <item x="7"/>
        <item x="29"/>
        <item x="17"/>
        <item x="34"/>
        <item x="40"/>
        <item x="35"/>
        <item x="12"/>
        <item x="16"/>
        <item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Page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x="1"/>
        <item n="Open SQL" x="0"/>
        <item t="default"/>
      </items>
    </pivotField>
  </pivotFields>
  <rowFields count="1">
    <field x="5"/>
  </rowFields>
  <rowItems count="5">
    <i>
      <x v="7"/>
    </i>
    <i>
      <x v="5"/>
    </i>
    <i>
      <x v="14"/>
    </i>
    <i>
      <x v="29"/>
    </i>
    <i>
      <x v="24"/>
    </i>
  </rowItems>
  <colFields count="1">
    <field x="12"/>
  </colFields>
  <colItems count="2">
    <i>
      <x/>
    </i>
    <i>
      <x v="1"/>
    </i>
  </colItems>
  <pageFields count="2">
    <pageField fld="6" hier="-1"/>
    <pageField fld="10" item="0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5B8E9-2FDF-422E-9E77-91CD9080A087}" name="PivotTable9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E29:G33" firstHeaderRow="1" firstDataRow="2" firstDataCol="1" rowPageCount="2" colPageCount="1"/>
  <pivotFields count="13">
    <pivotField showAll="0"/>
    <pivotField dataField="1" showAll="0"/>
    <pivotField showAll="0"/>
    <pivotField showAll="0"/>
    <pivotField showAll="0"/>
    <pivotField axis="axisRow" showAll="0" sortType="descending">
      <items count="46">
        <item x="0"/>
        <item x="42"/>
        <item x="44"/>
        <item n="service capability " x="21"/>
        <item x="8"/>
        <item x="30"/>
        <item x="31"/>
        <item x="2"/>
        <item x="20"/>
        <item x="10"/>
        <item x="27"/>
        <item x="38"/>
        <item n=" equipment size" x="13"/>
        <item x="19"/>
        <item x="24"/>
        <item x="41"/>
        <item x="22"/>
        <item x="37"/>
        <item x="14"/>
        <item x="6"/>
        <item x="28"/>
        <item x="36"/>
        <item x="11"/>
        <item x="23"/>
        <item x="3"/>
        <item x="1"/>
        <item x="25"/>
        <item x="32"/>
        <item x="15"/>
        <item x="39"/>
        <item x="18"/>
        <item x="9"/>
        <item x="43"/>
        <item x="4"/>
        <item x="26"/>
        <item x="5"/>
        <item x="7"/>
        <item x="29"/>
        <item x="17"/>
        <item x="34"/>
        <item x="40"/>
        <item x="35"/>
        <item x="12"/>
        <item n="service timeline " x="16"/>
        <item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Page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n="Closed Won SQL" x="1"/>
        <item n="Open SQL" x="0"/>
        <item t="default"/>
      </items>
    </pivotField>
  </pivotFields>
  <rowFields count="1">
    <field x="5"/>
  </rowFields>
  <rowItems count="3">
    <i>
      <x v="12"/>
    </i>
    <i>
      <x v="43"/>
    </i>
    <i>
      <x v="3"/>
    </i>
  </rowItems>
  <colFields count="1">
    <field x="12"/>
  </colFields>
  <colItems count="2">
    <i>
      <x/>
    </i>
    <i>
      <x v="1"/>
    </i>
  </colItems>
  <pageFields count="2">
    <pageField fld="6" hier="-1"/>
    <pageField fld="10" item="4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04932-7D44-4FD0-BBEC-115A265EC98C}" name="PivotTable8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E17:G23" firstHeaderRow="1" firstDataRow="2" firstDataCol="1" rowPageCount="2" colPageCount="1"/>
  <pivotFields count="13">
    <pivotField showAll="0"/>
    <pivotField dataField="1" showAll="0"/>
    <pivotField showAll="0"/>
    <pivotField showAll="0"/>
    <pivotField showAll="0"/>
    <pivotField axis="axisRow" showAll="0" sortType="descending">
      <items count="46">
        <item x="0"/>
        <item x="42"/>
        <item x="44"/>
        <item x="21"/>
        <item x="8"/>
        <item x="30"/>
        <item x="31"/>
        <item x="2"/>
        <item x="20"/>
        <item x="10"/>
        <item x="27"/>
        <item x="38"/>
        <item x="13"/>
        <item x="19"/>
        <item x="24"/>
        <item x="41"/>
        <item x="22"/>
        <item x="37"/>
        <item x="14"/>
        <item x="6"/>
        <item x="28"/>
        <item x="36"/>
        <item x="11"/>
        <item x="23"/>
        <item x="3"/>
        <item x="1"/>
        <item x="25"/>
        <item x="32"/>
        <item x="15"/>
        <item x="39"/>
        <item x="18"/>
        <item x="9"/>
        <item x="43"/>
        <item x="4"/>
        <item x="26"/>
        <item x="5"/>
        <item x="7"/>
        <item x="29"/>
        <item x="17"/>
        <item x="34"/>
        <item x="40"/>
        <item x="35"/>
        <item x="12"/>
        <item x="16"/>
        <item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Page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n="Closed Won SQL" x="1"/>
        <item n="Open SQL" x="0"/>
        <item t="default"/>
      </items>
    </pivotField>
  </pivotFields>
  <rowFields count="1">
    <field x="5"/>
  </rowFields>
  <rowItems count="5">
    <i>
      <x v="31"/>
    </i>
    <i>
      <x v="13"/>
    </i>
    <i>
      <x v="26"/>
    </i>
    <i>
      <x v="4"/>
    </i>
    <i>
      <x v="24"/>
    </i>
  </rowItems>
  <colFields count="1">
    <field x="12"/>
  </colFields>
  <colItems count="2">
    <i>
      <x/>
    </i>
    <i>
      <x v="1"/>
    </i>
  </colItems>
  <pageFields count="2">
    <pageField fld="6" hier="-1"/>
    <pageField fld="10" item="3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362C2-DE39-45B6-9374-B1212686E8EB}" name="PivotTable7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A17:C31" firstHeaderRow="1" firstDataRow="2" firstDataCol="1" rowPageCount="2" colPageCount="1"/>
  <pivotFields count="13">
    <pivotField showAll="0"/>
    <pivotField dataField="1" showAll="0"/>
    <pivotField showAll="0"/>
    <pivotField showAll="0"/>
    <pivotField showAll="0"/>
    <pivotField axis="axisRow" showAll="0" sortType="descending">
      <items count="46">
        <item x="0"/>
        <item x="42"/>
        <item x="44"/>
        <item x="21"/>
        <item x="8"/>
        <item x="30"/>
        <item x="31"/>
        <item x="2"/>
        <item x="20"/>
        <item x="10"/>
        <item x="27"/>
        <item x="38"/>
        <item x="13"/>
        <item x="19"/>
        <item x="24"/>
        <item x="41"/>
        <item x="22"/>
        <item x="37"/>
        <item x="14"/>
        <item x="6"/>
        <item x="28"/>
        <item x="36"/>
        <item x="11"/>
        <item x="23"/>
        <item x="3"/>
        <item x="1"/>
        <item x="25"/>
        <item x="32"/>
        <item x="15"/>
        <item x="39"/>
        <item x="18"/>
        <item x="9"/>
        <item x="43"/>
        <item x="4"/>
        <item x="26"/>
        <item x="5"/>
        <item x="7"/>
        <item x="29"/>
        <item x="17"/>
        <item x="34"/>
        <item x="40"/>
        <item x="35"/>
        <item x="12"/>
        <item x="16"/>
        <item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Page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n="Closed Won SQL" x="1"/>
        <item n="Open SQL" x="0"/>
        <item t="default"/>
      </items>
    </pivotField>
  </pivotFields>
  <rowFields count="1">
    <field x="5"/>
  </rowFields>
  <rowItems count="13">
    <i>
      <x v="19"/>
    </i>
    <i>
      <x v="35"/>
    </i>
    <i>
      <x v="38"/>
    </i>
    <i>
      <x v="16"/>
    </i>
    <i>
      <x v="39"/>
    </i>
    <i>
      <x v="9"/>
    </i>
    <i>
      <x v="37"/>
    </i>
    <i>
      <x v="22"/>
    </i>
    <i>
      <x v="18"/>
    </i>
    <i>
      <x v="17"/>
    </i>
    <i>
      <x v="36"/>
    </i>
    <i>
      <x v="21"/>
    </i>
    <i>
      <x v="15"/>
    </i>
  </rowItems>
  <colFields count="1">
    <field x="12"/>
  </colFields>
  <colItems count="2">
    <i>
      <x/>
    </i>
    <i>
      <x v="1"/>
    </i>
  </colItems>
  <pageFields count="2">
    <pageField fld="6" hier="-1"/>
    <pageField fld="10" item="1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14C6B-23E8-4A57-B276-6D649175760E}" name="PivotTable6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I17:J22" firstHeaderRow="1" firstDataRow="2" firstDataCol="1" rowPageCount="2" colPageCount="1"/>
  <pivotFields count="13">
    <pivotField showAll="0"/>
    <pivotField dataField="1" showAll="0"/>
    <pivotField showAll="0"/>
    <pivotField showAll="0"/>
    <pivotField showAll="0"/>
    <pivotField axis="axisRow" showAll="0" sortType="descending">
      <items count="46">
        <item x="0"/>
        <item x="42"/>
        <item x="44"/>
        <item x="21"/>
        <item x="8"/>
        <item x="30"/>
        <item x="31"/>
        <item x="2"/>
        <item x="20"/>
        <item x="10"/>
        <item x="27"/>
        <item x="38"/>
        <item x="13"/>
        <item x="19"/>
        <item x="24"/>
        <item x="41"/>
        <item x="22"/>
        <item x="37"/>
        <item x="14"/>
        <item x="6"/>
        <item x="28"/>
        <item x="36"/>
        <item x="11"/>
        <item x="23"/>
        <item x="3"/>
        <item n=" ownership / purchase" x="1"/>
        <item x="25"/>
        <item x="32"/>
        <item x="15"/>
        <item x="39"/>
        <item x="18"/>
        <item x="9"/>
        <item x="43"/>
        <item x="4"/>
        <item x="26"/>
        <item x="5"/>
        <item x="7"/>
        <item x="29"/>
        <item x="17"/>
        <item x="34"/>
        <item x="40"/>
        <item x="35"/>
        <item x="12"/>
        <item x="16"/>
        <item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axis="axisPage" multipleItemSelectionAllowed="1" showAll="0">
      <items count="8">
        <item h="1" x="0"/>
        <item x="5"/>
        <item x="1"/>
        <item h="1" x="4"/>
        <item x="6"/>
        <item h="1" x="2"/>
        <item h="1" x="3"/>
        <item t="default"/>
      </items>
    </pivotField>
    <pivotField showAll="0"/>
    <pivotField showAll="0"/>
    <pivotField showAll="0"/>
    <pivotField axis="axisPage" showAll="0">
      <items count="8">
        <item x="2"/>
        <item x="3"/>
        <item x="1"/>
        <item x="4"/>
        <item x="6"/>
        <item x="5"/>
        <item x="0"/>
        <item t="default"/>
      </items>
    </pivotField>
    <pivotField showAll="0"/>
    <pivotField axis="axisCol" showAll="0">
      <items count="3">
        <item x="1"/>
        <item n="Open SQL" x="0"/>
        <item t="default"/>
      </items>
    </pivotField>
  </pivotFields>
  <rowFields count="1">
    <field x="5"/>
  </rowFields>
  <rowItems count="4">
    <i>
      <x v="28"/>
    </i>
    <i>
      <x v="25"/>
    </i>
    <i>
      <x v="4"/>
    </i>
    <i>
      <x v="24"/>
    </i>
  </rowItems>
  <colFields count="1">
    <field x="12"/>
  </colFields>
  <colItems count="1">
    <i>
      <x v="1"/>
    </i>
  </colItems>
  <pageFields count="2">
    <pageField fld="6" hier="-1"/>
    <pageField fld="10" item="2" hier="-1"/>
  </pageFields>
  <dataFields count="1">
    <dataField name="Count of Opp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883A-8118-491F-9292-91FD0F26CB9E}">
  <sheetPr>
    <tabColor theme="5"/>
  </sheetPr>
  <dimension ref="A1:P33"/>
  <sheetViews>
    <sheetView zoomScale="72" zoomScaleNormal="100" workbookViewId="0">
      <selection activeCell="K32" activeCellId="1" sqref="K30 K32"/>
    </sheetView>
  </sheetViews>
  <sheetFormatPr defaultRowHeight="14.6" x14ac:dyDescent="0.4"/>
  <cols>
    <col min="1" max="1" width="24.84375" bestFit="1" customWidth="1"/>
    <col min="2" max="2" width="15.921875" bestFit="1" customWidth="1"/>
    <col min="3" max="3" width="9" bestFit="1" customWidth="1"/>
    <col min="4" max="4" width="10.4609375" bestFit="1" customWidth="1"/>
    <col min="5" max="5" width="15" bestFit="1" customWidth="1"/>
    <col min="6" max="6" width="27.07421875" bestFit="1" customWidth="1"/>
    <col min="7" max="7" width="9.84375" bestFit="1" customWidth="1"/>
    <col min="8" max="8" width="10" bestFit="1" customWidth="1"/>
    <col min="9" max="9" width="18.53515625" bestFit="1" customWidth="1"/>
    <col min="10" max="10" width="21.921875" customWidth="1"/>
    <col min="11" max="11" width="13.765625" customWidth="1"/>
  </cols>
  <sheetData>
    <row r="1" spans="1:16" x14ac:dyDescent="0.4">
      <c r="A1" s="8" t="s">
        <v>218</v>
      </c>
      <c r="B1" t="s">
        <v>353</v>
      </c>
      <c r="D1" s="14" t="s">
        <v>583</v>
      </c>
      <c r="E1" s="14">
        <v>317</v>
      </c>
      <c r="F1" s="14" t="s">
        <v>584</v>
      </c>
      <c r="G1" s="14">
        <v>199</v>
      </c>
      <c r="H1" s="14" t="s">
        <v>1219</v>
      </c>
      <c r="I1" s="14">
        <f>E1+G1</f>
        <v>516</v>
      </c>
    </row>
    <row r="2" spans="1:16" x14ac:dyDescent="0.4">
      <c r="E2" s="12">
        <f>SUM(C5:C10)/E1</f>
        <v>0.25552050473186122</v>
      </c>
      <c r="G2" s="12">
        <f>SUM(B5:B10)/G1</f>
        <v>0.10552763819095477</v>
      </c>
      <c r="I2" s="12">
        <f>SUM(B5:C10)/I1</f>
        <v>0.19767441860465115</v>
      </c>
    </row>
    <row r="3" spans="1:16" x14ac:dyDescent="0.4">
      <c r="A3" s="8" t="s">
        <v>352</v>
      </c>
      <c r="B3" s="8" t="s">
        <v>132</v>
      </c>
    </row>
    <row r="4" spans="1:16" x14ac:dyDescent="0.4">
      <c r="A4" s="8" t="s">
        <v>131</v>
      </c>
      <c r="B4" t="s">
        <v>1217</v>
      </c>
      <c r="C4" t="s">
        <v>1218</v>
      </c>
    </row>
    <row r="5" spans="1:16" x14ac:dyDescent="0.4">
      <c r="A5" s="9" t="s">
        <v>346</v>
      </c>
      <c r="B5">
        <v>2</v>
      </c>
      <c r="C5">
        <v>12</v>
      </c>
    </row>
    <row r="6" spans="1:16" x14ac:dyDescent="0.4">
      <c r="A6" s="9" t="s">
        <v>4</v>
      </c>
      <c r="B6">
        <v>10</v>
      </c>
      <c r="C6">
        <v>28</v>
      </c>
    </row>
    <row r="7" spans="1:16" x14ac:dyDescent="0.4">
      <c r="A7" s="9" t="s">
        <v>347</v>
      </c>
      <c r="C7">
        <v>17</v>
      </c>
    </row>
    <row r="8" spans="1:16" x14ac:dyDescent="0.4">
      <c r="A8" s="9" t="s">
        <v>349</v>
      </c>
      <c r="B8">
        <v>5</v>
      </c>
      <c r="C8">
        <v>11</v>
      </c>
      <c r="K8" s="9" t="s">
        <v>346</v>
      </c>
      <c r="L8" s="9" t="s">
        <v>4</v>
      </c>
      <c r="M8" s="9" t="s">
        <v>347</v>
      </c>
      <c r="N8" s="9" t="s">
        <v>349</v>
      </c>
      <c r="O8" s="9" t="s">
        <v>350</v>
      </c>
      <c r="P8" s="9" t="s">
        <v>5</v>
      </c>
    </row>
    <row r="9" spans="1:16" x14ac:dyDescent="0.4">
      <c r="A9" s="9" t="s">
        <v>350</v>
      </c>
      <c r="B9">
        <v>2</v>
      </c>
      <c r="C9">
        <v>11</v>
      </c>
      <c r="K9">
        <v>12</v>
      </c>
      <c r="L9">
        <v>28</v>
      </c>
      <c r="M9">
        <v>17</v>
      </c>
      <c r="N9">
        <v>11</v>
      </c>
      <c r="O9">
        <v>11</v>
      </c>
      <c r="P9">
        <v>2</v>
      </c>
    </row>
    <row r="10" spans="1:16" x14ac:dyDescent="0.4">
      <c r="A10" s="9" t="s">
        <v>5</v>
      </c>
      <c r="B10">
        <v>2</v>
      </c>
      <c r="C10">
        <v>2</v>
      </c>
      <c r="K10">
        <v>2</v>
      </c>
      <c r="L10">
        <v>10</v>
      </c>
      <c r="N10">
        <v>5</v>
      </c>
      <c r="O10">
        <v>2</v>
      </c>
      <c r="P10">
        <v>2</v>
      </c>
    </row>
    <row r="12" spans="1:16" x14ac:dyDescent="0.4">
      <c r="B12" s="12"/>
      <c r="C12" s="12"/>
    </row>
    <row r="13" spans="1:16" x14ac:dyDescent="0.4">
      <c r="B13" s="12"/>
      <c r="C13" s="12"/>
    </row>
    <row r="14" spans="1:16" x14ac:dyDescent="0.4">
      <c r="A14" s="8" t="s">
        <v>218</v>
      </c>
      <c r="B14" t="s">
        <v>353</v>
      </c>
      <c r="E14" s="8" t="s">
        <v>218</v>
      </c>
      <c r="F14" t="s">
        <v>353</v>
      </c>
      <c r="I14" s="8" t="s">
        <v>218</v>
      </c>
      <c r="J14" t="s">
        <v>353</v>
      </c>
    </row>
    <row r="15" spans="1:16" x14ac:dyDescent="0.4">
      <c r="A15" s="8" t="s">
        <v>345</v>
      </c>
      <c r="B15" t="s">
        <v>4</v>
      </c>
      <c r="E15" s="8" t="s">
        <v>345</v>
      </c>
      <c r="F15" t="s">
        <v>349</v>
      </c>
      <c r="I15" s="8" t="s">
        <v>345</v>
      </c>
      <c r="J15" t="s">
        <v>347</v>
      </c>
    </row>
    <row r="17" spans="1:11" x14ac:dyDescent="0.4">
      <c r="A17" s="8" t="s">
        <v>352</v>
      </c>
      <c r="B17" s="8" t="s">
        <v>132</v>
      </c>
      <c r="E17" s="8" t="s">
        <v>352</v>
      </c>
      <c r="F17" s="8" t="s">
        <v>132</v>
      </c>
      <c r="I17" s="8" t="s">
        <v>352</v>
      </c>
      <c r="J17" s="8" t="s">
        <v>132</v>
      </c>
    </row>
    <row r="18" spans="1:11" x14ac:dyDescent="0.4">
      <c r="A18" s="8" t="s">
        <v>131</v>
      </c>
      <c r="B18" t="s">
        <v>1217</v>
      </c>
      <c r="C18" t="s">
        <v>1218</v>
      </c>
      <c r="E18" s="8" t="s">
        <v>131</v>
      </c>
      <c r="F18" t="s">
        <v>1217</v>
      </c>
      <c r="G18" t="s">
        <v>1218</v>
      </c>
      <c r="I18" s="8" t="s">
        <v>131</v>
      </c>
      <c r="J18" t="s">
        <v>1218</v>
      </c>
    </row>
    <row r="19" spans="1:11" x14ac:dyDescent="0.4">
      <c r="A19" s="9" t="s">
        <v>232</v>
      </c>
      <c r="B19">
        <v>1</v>
      </c>
      <c r="C19">
        <v>7</v>
      </c>
      <c r="E19" s="9" t="s">
        <v>394</v>
      </c>
      <c r="F19">
        <v>4</v>
      </c>
      <c r="G19">
        <v>5</v>
      </c>
      <c r="I19" s="9" t="s">
        <v>223</v>
      </c>
      <c r="J19">
        <v>8</v>
      </c>
    </row>
    <row r="20" spans="1:11" x14ac:dyDescent="0.4">
      <c r="A20" s="9" t="s">
        <v>247</v>
      </c>
      <c r="B20">
        <v>1</v>
      </c>
      <c r="C20">
        <v>4</v>
      </c>
      <c r="E20" s="9" t="s">
        <v>193</v>
      </c>
      <c r="G20">
        <v>3</v>
      </c>
      <c r="I20" s="9" t="s">
        <v>1216</v>
      </c>
      <c r="J20">
        <v>4</v>
      </c>
    </row>
    <row r="21" spans="1:11" x14ac:dyDescent="0.4">
      <c r="A21" s="9" t="s">
        <v>514</v>
      </c>
      <c r="B21">
        <v>1</v>
      </c>
      <c r="C21">
        <v>4</v>
      </c>
      <c r="E21" s="9" t="s">
        <v>240</v>
      </c>
      <c r="G21">
        <v>2</v>
      </c>
      <c r="I21" s="9" t="s">
        <v>279</v>
      </c>
      <c r="J21">
        <v>4</v>
      </c>
    </row>
    <row r="22" spans="1:11" x14ac:dyDescent="0.4">
      <c r="A22" s="9" t="s">
        <v>139</v>
      </c>
      <c r="B22">
        <v>4</v>
      </c>
      <c r="C22">
        <v>3</v>
      </c>
      <c r="E22" s="9" t="s">
        <v>279</v>
      </c>
      <c r="G22">
        <v>1</v>
      </c>
      <c r="I22" s="9" t="s">
        <v>366</v>
      </c>
      <c r="J22">
        <v>1</v>
      </c>
    </row>
    <row r="23" spans="1:11" x14ac:dyDescent="0.4">
      <c r="A23" s="9" t="s">
        <v>459</v>
      </c>
      <c r="C23">
        <v>2</v>
      </c>
      <c r="E23" s="9" t="s">
        <v>366</v>
      </c>
      <c r="F23">
        <v>1</v>
      </c>
    </row>
    <row r="24" spans="1:11" x14ac:dyDescent="0.4">
      <c r="A24" s="9" t="s">
        <v>228</v>
      </c>
      <c r="C24">
        <v>2</v>
      </c>
      <c r="I24" s="8" t="s">
        <v>218</v>
      </c>
      <c r="J24" t="s">
        <v>353</v>
      </c>
    </row>
    <row r="25" spans="1:11" x14ac:dyDescent="0.4">
      <c r="A25" s="9" t="s">
        <v>294</v>
      </c>
      <c r="C25">
        <v>1</v>
      </c>
      <c r="I25" s="8" t="s">
        <v>345</v>
      </c>
      <c r="J25" t="s">
        <v>346</v>
      </c>
    </row>
    <row r="26" spans="1:11" x14ac:dyDescent="0.4">
      <c r="A26" s="9" t="s">
        <v>408</v>
      </c>
      <c r="C26">
        <v>1</v>
      </c>
      <c r="E26" s="8" t="s">
        <v>218</v>
      </c>
      <c r="F26" t="s">
        <v>353</v>
      </c>
    </row>
    <row r="27" spans="1:11" x14ac:dyDescent="0.4">
      <c r="A27" s="9" t="s">
        <v>455</v>
      </c>
      <c r="C27">
        <v>1</v>
      </c>
      <c r="E27" s="8" t="s">
        <v>345</v>
      </c>
      <c r="F27" t="s">
        <v>350</v>
      </c>
      <c r="I27" s="8" t="s">
        <v>352</v>
      </c>
      <c r="J27" s="8" t="s">
        <v>132</v>
      </c>
    </row>
    <row r="28" spans="1:11" x14ac:dyDescent="0.4">
      <c r="A28" s="9" t="s">
        <v>697</v>
      </c>
      <c r="C28">
        <v>1</v>
      </c>
      <c r="I28" s="8" t="s">
        <v>131</v>
      </c>
      <c r="J28" t="s">
        <v>2</v>
      </c>
      <c r="K28" t="s">
        <v>1218</v>
      </c>
    </row>
    <row r="29" spans="1:11" x14ac:dyDescent="0.4">
      <c r="A29" s="9" t="s">
        <v>207</v>
      </c>
      <c r="B29">
        <v>2</v>
      </c>
      <c r="C29">
        <v>1</v>
      </c>
      <c r="E29" s="8" t="s">
        <v>352</v>
      </c>
      <c r="F29" s="8" t="s">
        <v>132</v>
      </c>
      <c r="I29" s="9" t="s">
        <v>241</v>
      </c>
      <c r="K29">
        <v>6</v>
      </c>
    </row>
    <row r="30" spans="1:11" x14ac:dyDescent="0.4">
      <c r="A30" s="9" t="s">
        <v>627</v>
      </c>
      <c r="C30">
        <v>1</v>
      </c>
      <c r="E30" s="8" t="s">
        <v>131</v>
      </c>
      <c r="F30" t="s">
        <v>1217</v>
      </c>
      <c r="G30" t="s">
        <v>1218</v>
      </c>
      <c r="I30" s="9" t="s">
        <v>199</v>
      </c>
      <c r="K30">
        <v>2</v>
      </c>
    </row>
    <row r="31" spans="1:11" x14ac:dyDescent="0.4">
      <c r="A31" s="9" t="s">
        <v>892</v>
      </c>
      <c r="B31">
        <v>1</v>
      </c>
      <c r="E31" s="9" t="s">
        <v>1213</v>
      </c>
      <c r="G31">
        <v>5</v>
      </c>
      <c r="I31" s="9" t="s">
        <v>146</v>
      </c>
      <c r="K31">
        <v>2</v>
      </c>
    </row>
    <row r="32" spans="1:11" x14ac:dyDescent="0.4">
      <c r="E32" s="9" t="s">
        <v>1215</v>
      </c>
      <c r="F32">
        <v>2</v>
      </c>
      <c r="G32">
        <v>3</v>
      </c>
      <c r="I32" s="9" t="s">
        <v>800</v>
      </c>
      <c r="J32">
        <v>2</v>
      </c>
      <c r="K32">
        <v>1</v>
      </c>
    </row>
    <row r="33" spans="5:11" x14ac:dyDescent="0.4">
      <c r="E33" s="9" t="s">
        <v>1214</v>
      </c>
      <c r="G33">
        <v>3</v>
      </c>
      <c r="I33" s="9" t="s">
        <v>366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D847-2C44-41F2-A397-66951859E6A0}">
  <sheetPr>
    <tabColor theme="5" tint="0.79998168889431442"/>
  </sheetPr>
  <dimension ref="A1:N580"/>
  <sheetViews>
    <sheetView tabSelected="1" zoomScale="85" zoomScaleNormal="85" workbookViewId="0">
      <selection activeCell="L7" sqref="L7"/>
    </sheetView>
  </sheetViews>
  <sheetFormatPr defaultRowHeight="14.6" x14ac:dyDescent="0.4"/>
  <cols>
    <col min="1" max="1" width="9.23046875" style="1"/>
    <col min="2" max="2" width="10.15234375" style="1" bestFit="1" customWidth="1"/>
    <col min="3" max="3" width="20.69140625" style="1" bestFit="1" customWidth="1"/>
    <col min="4" max="4" width="19.921875" style="13" bestFit="1" customWidth="1"/>
    <col min="5" max="5" width="14.4609375" style="1" bestFit="1" customWidth="1"/>
    <col min="6" max="6" width="10" style="1" bestFit="1" customWidth="1"/>
    <col min="7" max="7" width="22.61328125" style="13" customWidth="1"/>
    <col min="8" max="8" width="12.23046875" style="1" hidden="1" customWidth="1"/>
    <col min="9" max="9" width="18.4609375" style="1" bestFit="1" customWidth="1"/>
    <col min="10" max="10" width="18.765625" style="1" bestFit="1" customWidth="1"/>
    <col min="11" max="11" width="10.765625" style="1" bestFit="1" customWidth="1"/>
    <col min="12" max="12" width="72.4609375" style="10" customWidth="1"/>
    <col min="13" max="13" width="9.23046875" style="13"/>
    <col min="14" max="14" width="19.15234375" style="13" bestFit="1" customWidth="1"/>
    <col min="15" max="16384" width="9.23046875" style="13"/>
  </cols>
  <sheetData>
    <row r="1" spans="1:14" ht="29.15" x14ac:dyDescent="0.4">
      <c r="A1" s="2" t="s">
        <v>585</v>
      </c>
      <c r="B1" s="2" t="s">
        <v>6</v>
      </c>
      <c r="C1" s="2" t="s">
        <v>214</v>
      </c>
      <c r="D1" s="2" t="s">
        <v>0</v>
      </c>
      <c r="E1" s="2" t="s">
        <v>354</v>
      </c>
      <c r="F1" s="2" t="s">
        <v>215</v>
      </c>
      <c r="G1" s="2" t="s">
        <v>345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220</v>
      </c>
      <c r="M1" s="2" t="s">
        <v>351</v>
      </c>
      <c r="N1" s="2" t="s">
        <v>214</v>
      </c>
    </row>
    <row r="2" spans="1:14" x14ac:dyDescent="0.4">
      <c r="A2" s="1">
        <v>5</v>
      </c>
      <c r="B2" s="1">
        <v>7</v>
      </c>
      <c r="C2" s="1" t="s">
        <v>355</v>
      </c>
      <c r="D2" s="11" t="s">
        <v>1</v>
      </c>
      <c r="E2" s="1" t="s">
        <v>356</v>
      </c>
      <c r="F2" s="1" t="s">
        <v>134</v>
      </c>
      <c r="G2" s="11" t="e">
        <f>_xlfn.XLOOKUP(M2,'Code Catagories'!A:A,'Code Catagories'!C:C)</f>
        <v>#N/A</v>
      </c>
      <c r="H2" s="1" t="s">
        <v>134</v>
      </c>
      <c r="I2" s="1" t="s">
        <v>134</v>
      </c>
      <c r="J2" s="1" t="s">
        <v>134</v>
      </c>
      <c r="K2" s="1" t="s">
        <v>134</v>
      </c>
      <c r="L2" s="10" t="s">
        <v>135</v>
      </c>
      <c r="M2" s="11" t="str">
        <f>TRIM(F2)</f>
        <v>—</v>
      </c>
      <c r="N2" s="1" t="str">
        <f t="shared" ref="N2:N33" si="0">TRIM(C2)</f>
        <v>006Rg00000aP8UEIA0</v>
      </c>
    </row>
    <row r="3" spans="1:14" ht="29.15" x14ac:dyDescent="0.4">
      <c r="A3" s="1">
        <v>5</v>
      </c>
      <c r="B3" s="1">
        <v>7</v>
      </c>
      <c r="C3" s="1" t="s">
        <v>357</v>
      </c>
      <c r="D3" s="11" t="s">
        <v>1</v>
      </c>
      <c r="E3" s="1" t="s">
        <v>134</v>
      </c>
      <c r="F3" s="1" t="s">
        <v>222</v>
      </c>
      <c r="G3" s="11" t="str">
        <f>_xlfn.XLOOKUP(M3,'Code Catagories'!A:A,'Code Catagories'!C:C)</f>
        <v>4C. Commercial Model</v>
      </c>
      <c r="H3" s="1" t="s">
        <v>138</v>
      </c>
      <c r="I3" s="1" t="s">
        <v>239</v>
      </c>
      <c r="J3" s="1" t="s">
        <v>147</v>
      </c>
      <c r="K3" s="1" t="s">
        <v>148</v>
      </c>
      <c r="L3" s="10" t="s">
        <v>358</v>
      </c>
      <c r="M3" s="11" t="str">
        <f t="shared" ref="M3:M67" si="1">TRIM(F3)</f>
        <v>4C</v>
      </c>
      <c r="N3" s="1" t="str">
        <f t="shared" si="0"/>
        <v>006Rg00000apbAUIAY</v>
      </c>
    </row>
    <row r="4" spans="1:14" x14ac:dyDescent="0.4">
      <c r="A4" s="1">
        <v>5</v>
      </c>
      <c r="B4" s="1">
        <v>7</v>
      </c>
      <c r="C4" s="1" t="s">
        <v>359</v>
      </c>
      <c r="D4" s="11" t="s">
        <v>1</v>
      </c>
      <c r="E4" s="1" t="s">
        <v>360</v>
      </c>
      <c r="F4" s="1" t="s">
        <v>134</v>
      </c>
      <c r="G4" s="11" t="e">
        <f>_xlfn.XLOOKUP(M4,'Code Catagories'!A:A,'Code Catagories'!C:C)</f>
        <v>#N/A</v>
      </c>
      <c r="H4" s="1" t="s">
        <v>134</v>
      </c>
      <c r="I4" s="1" t="s">
        <v>134</v>
      </c>
      <c r="J4" s="1" t="s">
        <v>134</v>
      </c>
      <c r="K4" s="1" t="s">
        <v>134</v>
      </c>
      <c r="L4" s="10" t="s">
        <v>135</v>
      </c>
      <c r="M4" s="11" t="str">
        <f t="shared" si="1"/>
        <v>—</v>
      </c>
      <c r="N4" s="1" t="str">
        <f t="shared" si="0"/>
        <v>006Rg00000apbFJIAY</v>
      </c>
    </row>
    <row r="5" spans="1:14" ht="29.15" x14ac:dyDescent="0.4">
      <c r="A5" s="1">
        <v>5</v>
      </c>
      <c r="B5" s="1">
        <v>7</v>
      </c>
      <c r="C5" s="1" t="s">
        <v>361</v>
      </c>
      <c r="D5" s="11" t="s">
        <v>1</v>
      </c>
      <c r="E5" s="1" t="s">
        <v>362</v>
      </c>
      <c r="F5" s="1" t="s">
        <v>145</v>
      </c>
      <c r="G5" s="11" t="str">
        <f>_xlfn.XLOOKUP(M5,'Code Catagories'!A:A,'Code Catagories'!C:C)</f>
        <v>4A. Rate Uncompetitive</v>
      </c>
      <c r="H5" s="1" t="s">
        <v>138</v>
      </c>
      <c r="I5" s="1" t="s">
        <v>241</v>
      </c>
      <c r="J5" s="1" t="s">
        <v>147</v>
      </c>
      <c r="K5" s="1" t="s">
        <v>148</v>
      </c>
      <c r="L5" s="10" t="s">
        <v>363</v>
      </c>
      <c r="M5" s="11" t="str">
        <f t="shared" si="1"/>
        <v>4A</v>
      </c>
      <c r="N5" s="1" t="str">
        <f t="shared" si="0"/>
        <v>006Rg00000apIfjIAE</v>
      </c>
    </row>
    <row r="6" spans="1:14" ht="29.15" x14ac:dyDescent="0.4">
      <c r="A6" s="1">
        <v>5</v>
      </c>
      <c r="B6" s="1">
        <v>7</v>
      </c>
      <c r="C6" s="1" t="s">
        <v>364</v>
      </c>
      <c r="D6" s="11" t="s">
        <v>1</v>
      </c>
      <c r="E6" s="1" t="s">
        <v>365</v>
      </c>
      <c r="F6" s="1" t="s">
        <v>145</v>
      </c>
      <c r="G6" s="11" t="str">
        <f>_xlfn.XLOOKUP(M6,'Code Catagories'!A:A,'Code Catagories'!C:C)</f>
        <v>4A. Rate Uncompetitive</v>
      </c>
      <c r="H6" s="1" t="s">
        <v>134</v>
      </c>
      <c r="I6" s="1" t="s">
        <v>366</v>
      </c>
      <c r="J6" s="1" t="s">
        <v>203</v>
      </c>
      <c r="K6" s="1" t="s">
        <v>141</v>
      </c>
      <c r="L6" s="10" t="s">
        <v>367</v>
      </c>
      <c r="M6" s="11" t="str">
        <f t="shared" si="1"/>
        <v>4A</v>
      </c>
      <c r="N6" s="1" t="str">
        <f t="shared" si="0"/>
        <v>006Rg00000aPmZaIAK</v>
      </c>
    </row>
    <row r="7" spans="1:14" ht="29.15" x14ac:dyDescent="0.4">
      <c r="A7" s="1">
        <v>5</v>
      </c>
      <c r="B7" s="1">
        <v>7</v>
      </c>
      <c r="C7" s="1" t="s">
        <v>364</v>
      </c>
      <c r="D7" s="11" t="s">
        <v>1</v>
      </c>
      <c r="E7" s="1" t="s">
        <v>365</v>
      </c>
      <c r="F7" s="1" t="s">
        <v>222</v>
      </c>
      <c r="G7" s="11" t="str">
        <f>_xlfn.XLOOKUP(M7,'Code Catagories'!A:A,'Code Catagories'!C:C)</f>
        <v>4C. Commercial Model</v>
      </c>
      <c r="H7" s="1" t="s">
        <v>134</v>
      </c>
      <c r="I7" s="1" t="s">
        <v>321</v>
      </c>
      <c r="J7" s="1" t="s">
        <v>224</v>
      </c>
      <c r="K7" s="1" t="s">
        <v>141</v>
      </c>
      <c r="L7" s="10" t="s">
        <v>368</v>
      </c>
      <c r="M7" s="11" t="str">
        <f t="shared" si="1"/>
        <v>4C</v>
      </c>
      <c r="N7" s="1" t="str">
        <f t="shared" si="0"/>
        <v>006Rg00000aPmZaIAK</v>
      </c>
    </row>
    <row r="8" spans="1:14" ht="29.15" x14ac:dyDescent="0.4">
      <c r="A8" s="1">
        <v>5</v>
      </c>
      <c r="B8" s="1">
        <v>7</v>
      </c>
      <c r="C8" s="1" t="s">
        <v>369</v>
      </c>
      <c r="D8" s="11" t="s">
        <v>2</v>
      </c>
      <c r="E8" s="1" t="s">
        <v>370</v>
      </c>
      <c r="F8" s="1" t="s">
        <v>137</v>
      </c>
      <c r="G8" s="11" t="str">
        <f>_xlfn.XLOOKUP(M8,'Code Catagories'!A:A,'Code Catagories'!C:C)</f>
        <v>4B. Ancillary Fees</v>
      </c>
      <c r="H8" s="1" t="s">
        <v>134</v>
      </c>
      <c r="I8" s="1" t="s">
        <v>247</v>
      </c>
      <c r="J8" s="1" t="s">
        <v>203</v>
      </c>
      <c r="K8" s="1" t="s">
        <v>141</v>
      </c>
      <c r="L8" s="10" t="s">
        <v>371</v>
      </c>
      <c r="M8" s="11" t="str">
        <f t="shared" si="1"/>
        <v>4B</v>
      </c>
      <c r="N8" s="1" t="str">
        <f t="shared" si="0"/>
        <v>006Rg00000aPNBBIA4</v>
      </c>
    </row>
    <row r="9" spans="1:14" ht="29.15" x14ac:dyDescent="0.4">
      <c r="A9" s="1">
        <v>5</v>
      </c>
      <c r="B9" s="1">
        <v>7</v>
      </c>
      <c r="C9" s="1" t="s">
        <v>369</v>
      </c>
      <c r="D9" s="11" t="s">
        <v>2</v>
      </c>
      <c r="E9" s="1" t="s">
        <v>370</v>
      </c>
      <c r="F9" s="1" t="s">
        <v>222</v>
      </c>
      <c r="G9" s="11" t="str">
        <f>_xlfn.XLOOKUP(M9,'Code Catagories'!A:A,'Code Catagories'!C:C)</f>
        <v>4C. Commercial Model</v>
      </c>
      <c r="H9" s="1" t="s">
        <v>134</v>
      </c>
      <c r="I9" s="1" t="s">
        <v>239</v>
      </c>
      <c r="J9" s="1" t="s">
        <v>203</v>
      </c>
      <c r="K9" s="1" t="s">
        <v>141</v>
      </c>
      <c r="L9" s="10" t="s">
        <v>372</v>
      </c>
      <c r="M9" s="11" t="str">
        <f t="shared" si="1"/>
        <v>4C</v>
      </c>
      <c r="N9" s="1" t="str">
        <f t="shared" si="0"/>
        <v>006Rg00000aPNBBIA4</v>
      </c>
    </row>
    <row r="10" spans="1:14" ht="29.15" x14ac:dyDescent="0.4">
      <c r="A10" s="1">
        <v>5</v>
      </c>
      <c r="B10" s="1">
        <v>7</v>
      </c>
      <c r="C10" s="1" t="s">
        <v>373</v>
      </c>
      <c r="D10" s="11" t="s">
        <v>1</v>
      </c>
      <c r="E10" s="1" t="s">
        <v>134</v>
      </c>
      <c r="F10" s="1" t="s">
        <v>134</v>
      </c>
      <c r="G10" s="11" t="e">
        <f>_xlfn.XLOOKUP(M10,'Code Catagories'!A:A,'Code Catagories'!C:C)</f>
        <v>#N/A</v>
      </c>
      <c r="H10" s="1" t="s">
        <v>134</v>
      </c>
      <c r="I10" s="1" t="s">
        <v>134</v>
      </c>
      <c r="J10" s="1" t="s">
        <v>308</v>
      </c>
      <c r="K10" s="1" t="s">
        <v>309</v>
      </c>
      <c r="L10" s="10" t="s">
        <v>374</v>
      </c>
      <c r="M10" s="11" t="str">
        <f t="shared" si="1"/>
        <v>—</v>
      </c>
      <c r="N10" s="1" t="str">
        <f t="shared" si="0"/>
        <v>006Rg00000aPqhpIAC</v>
      </c>
    </row>
    <row r="11" spans="1:14" ht="43.75" x14ac:dyDescent="0.4">
      <c r="A11" s="1">
        <v>5</v>
      </c>
      <c r="B11" s="1">
        <v>7</v>
      </c>
      <c r="C11" s="1" t="s">
        <v>375</v>
      </c>
      <c r="D11" s="11" t="s">
        <v>1</v>
      </c>
      <c r="E11" s="1" t="s">
        <v>376</v>
      </c>
      <c r="F11" s="1" t="s">
        <v>137</v>
      </c>
      <c r="G11" s="11" t="str">
        <f>_xlfn.XLOOKUP(M11,'Code Catagories'!A:A,'Code Catagories'!C:C)</f>
        <v>4B. Ancillary Fees</v>
      </c>
      <c r="H11" s="1" t="s">
        <v>138</v>
      </c>
      <c r="I11" s="1" t="s">
        <v>232</v>
      </c>
      <c r="J11" s="1" t="s">
        <v>140</v>
      </c>
      <c r="K11" s="1" t="s">
        <v>141</v>
      </c>
      <c r="L11" s="10" t="s">
        <v>377</v>
      </c>
      <c r="M11" s="11" t="str">
        <f t="shared" si="1"/>
        <v>4B</v>
      </c>
      <c r="N11" s="1" t="str">
        <f t="shared" si="0"/>
        <v>006Rg00000apzW9IAI</v>
      </c>
    </row>
    <row r="12" spans="1:14" ht="29.15" x14ac:dyDescent="0.4">
      <c r="A12" s="1">
        <v>5</v>
      </c>
      <c r="B12" s="1">
        <v>7</v>
      </c>
      <c r="C12" s="1" t="s">
        <v>378</v>
      </c>
      <c r="D12" s="11" t="s">
        <v>2</v>
      </c>
      <c r="E12" s="1" t="s">
        <v>379</v>
      </c>
      <c r="F12" s="1" t="s">
        <v>137</v>
      </c>
      <c r="G12" s="11" t="str">
        <f>_xlfn.XLOOKUP(M12,'Code Catagories'!A:A,'Code Catagories'!C:C)</f>
        <v>4B. Ancillary Fees</v>
      </c>
      <c r="H12" s="1" t="s">
        <v>134</v>
      </c>
      <c r="I12" s="1" t="s">
        <v>207</v>
      </c>
      <c r="J12" s="1" t="s">
        <v>203</v>
      </c>
      <c r="K12" s="1" t="s">
        <v>141</v>
      </c>
      <c r="L12" s="10" t="s">
        <v>380</v>
      </c>
      <c r="M12" s="11" t="str">
        <f t="shared" si="1"/>
        <v>4B</v>
      </c>
      <c r="N12" s="1" t="str">
        <f t="shared" si="0"/>
        <v>006Rg00000aQ7AnIAK</v>
      </c>
    </row>
    <row r="13" spans="1:14" ht="29.15" x14ac:dyDescent="0.4">
      <c r="A13" s="1">
        <v>5</v>
      </c>
      <c r="B13" s="1">
        <v>7</v>
      </c>
      <c r="C13" s="1" t="s">
        <v>378</v>
      </c>
      <c r="D13" s="11" t="s">
        <v>2</v>
      </c>
      <c r="E13" s="1" t="s">
        <v>379</v>
      </c>
      <c r="F13" s="1" t="s">
        <v>192</v>
      </c>
      <c r="G13" s="11" t="str">
        <f>_xlfn.XLOOKUP(M13,'Code Catagories'!A:A,'Code Catagories'!C:C)</f>
        <v>4D. Contract Mechanics</v>
      </c>
      <c r="H13" s="1" t="s">
        <v>134</v>
      </c>
      <c r="I13" s="1" t="s">
        <v>279</v>
      </c>
      <c r="J13" s="1" t="s">
        <v>203</v>
      </c>
      <c r="K13" s="1" t="s">
        <v>141</v>
      </c>
      <c r="L13" s="10" t="s">
        <v>381</v>
      </c>
      <c r="M13" s="11" t="str">
        <f t="shared" si="1"/>
        <v>4D</v>
      </c>
      <c r="N13" s="1" t="str">
        <f t="shared" si="0"/>
        <v>006Rg00000aQ7AnIAK</v>
      </c>
    </row>
    <row r="14" spans="1:14" ht="43.75" x14ac:dyDescent="0.4">
      <c r="A14" s="1">
        <v>5</v>
      </c>
      <c r="B14" s="1">
        <v>7</v>
      </c>
      <c r="C14" s="1" t="s">
        <v>382</v>
      </c>
      <c r="D14" s="11" t="s">
        <v>1</v>
      </c>
      <c r="E14" s="1" t="s">
        <v>383</v>
      </c>
      <c r="F14" s="1" t="s">
        <v>222</v>
      </c>
      <c r="G14" s="11" t="str">
        <f>_xlfn.XLOOKUP(M14,'Code Catagories'!A:A,'Code Catagories'!C:C)</f>
        <v>4C. Commercial Model</v>
      </c>
      <c r="H14" s="1" t="s">
        <v>138</v>
      </c>
      <c r="I14" s="1" t="s">
        <v>366</v>
      </c>
      <c r="J14" s="1" t="s">
        <v>147</v>
      </c>
      <c r="K14" s="1" t="s">
        <v>148</v>
      </c>
      <c r="L14" s="10" t="s">
        <v>384</v>
      </c>
      <c r="M14" s="11" t="str">
        <f t="shared" si="1"/>
        <v>4C</v>
      </c>
      <c r="N14" s="1" t="str">
        <f t="shared" si="0"/>
        <v>006Rg00000aqHJfIAM</v>
      </c>
    </row>
    <row r="15" spans="1:14" ht="43.75" x14ac:dyDescent="0.4">
      <c r="A15" s="1">
        <v>5</v>
      </c>
      <c r="B15" s="1">
        <v>7</v>
      </c>
      <c r="C15" s="1" t="s">
        <v>385</v>
      </c>
      <c r="D15" s="11" t="s">
        <v>2</v>
      </c>
      <c r="E15" s="1" t="s">
        <v>386</v>
      </c>
      <c r="F15" s="1" t="s">
        <v>192</v>
      </c>
      <c r="G15" s="11" t="str">
        <f>_xlfn.XLOOKUP(M15,'Code Catagories'!A:A,'Code Catagories'!C:C)</f>
        <v>4D. Contract Mechanics</v>
      </c>
      <c r="H15" s="1" t="s">
        <v>138</v>
      </c>
      <c r="I15" s="1" t="s">
        <v>366</v>
      </c>
      <c r="J15" s="1" t="s">
        <v>140</v>
      </c>
      <c r="K15" s="1" t="s">
        <v>148</v>
      </c>
      <c r="L15" s="10" t="s">
        <v>387</v>
      </c>
      <c r="M15" s="11" t="str">
        <f t="shared" si="1"/>
        <v>4D</v>
      </c>
      <c r="N15" s="1" t="str">
        <f t="shared" si="0"/>
        <v>006Rg00000aQKsnIAG</v>
      </c>
    </row>
    <row r="16" spans="1:14" x14ac:dyDescent="0.4">
      <c r="A16" s="1">
        <v>5</v>
      </c>
      <c r="B16" s="1">
        <v>8</v>
      </c>
      <c r="C16" s="1" t="s">
        <v>388</v>
      </c>
      <c r="D16" s="11" t="s">
        <v>1</v>
      </c>
      <c r="E16" s="1" t="s">
        <v>389</v>
      </c>
      <c r="F16" s="1" t="s">
        <v>134</v>
      </c>
      <c r="G16" s="11" t="e">
        <f>_xlfn.XLOOKUP(M16,'Code Catagories'!A:A,'Code Catagories'!C:C)</f>
        <v>#N/A</v>
      </c>
      <c r="H16" s="1" t="s">
        <v>134</v>
      </c>
      <c r="I16" s="1" t="s">
        <v>134</v>
      </c>
      <c r="J16" s="1" t="s">
        <v>134</v>
      </c>
      <c r="K16" s="1" t="s">
        <v>134</v>
      </c>
      <c r="L16" s="10" t="s">
        <v>135</v>
      </c>
      <c r="M16" s="11" t="str">
        <f t="shared" si="1"/>
        <v>—</v>
      </c>
      <c r="N16" s="1" t="str">
        <f t="shared" si="0"/>
        <v>006Rg00000aqUuvIAE</v>
      </c>
    </row>
    <row r="17" spans="1:14" x14ac:dyDescent="0.4">
      <c r="A17" s="1">
        <v>5</v>
      </c>
      <c r="B17" s="1">
        <v>8</v>
      </c>
      <c r="C17" s="1" t="s">
        <v>390</v>
      </c>
      <c r="D17" s="11" t="s">
        <v>2</v>
      </c>
      <c r="E17" s="1" t="s">
        <v>391</v>
      </c>
      <c r="F17" s="1" t="s">
        <v>134</v>
      </c>
      <c r="G17" s="11" t="e">
        <f>_xlfn.XLOOKUP(M17,'Code Catagories'!A:A,'Code Catagories'!C:C)</f>
        <v>#N/A</v>
      </c>
      <c r="H17" s="1" t="s">
        <v>134</v>
      </c>
      <c r="I17" s="1" t="s">
        <v>134</v>
      </c>
      <c r="J17" s="1" t="s">
        <v>134</v>
      </c>
      <c r="K17" s="1" t="s">
        <v>134</v>
      </c>
      <c r="L17" s="10" t="s">
        <v>135</v>
      </c>
      <c r="M17" s="11" t="str">
        <f t="shared" si="1"/>
        <v>—</v>
      </c>
      <c r="N17" s="1" t="str">
        <f t="shared" si="0"/>
        <v>006Rg00000aRcGIIA0</v>
      </c>
    </row>
    <row r="18" spans="1:14" ht="43.75" x14ac:dyDescent="0.4">
      <c r="A18" s="1">
        <v>5</v>
      </c>
      <c r="B18" s="1">
        <v>8</v>
      </c>
      <c r="C18" s="1" t="s">
        <v>392</v>
      </c>
      <c r="D18" s="11" t="s">
        <v>2</v>
      </c>
      <c r="E18" s="1" t="s">
        <v>393</v>
      </c>
      <c r="F18" s="1" t="s">
        <v>192</v>
      </c>
      <c r="G18" s="11" t="str">
        <f>_xlfn.XLOOKUP(M18,'Code Catagories'!A:A,'Code Catagories'!C:C)</f>
        <v>4D. Contract Mechanics</v>
      </c>
      <c r="H18" s="1" t="s">
        <v>138</v>
      </c>
      <c r="I18" s="1" t="s">
        <v>394</v>
      </c>
      <c r="J18" s="1" t="s">
        <v>140</v>
      </c>
      <c r="K18" s="1" t="s">
        <v>141</v>
      </c>
      <c r="L18" s="10" t="s">
        <v>395</v>
      </c>
      <c r="M18" s="11" t="str">
        <f t="shared" si="1"/>
        <v>4D</v>
      </c>
      <c r="N18" s="1" t="str">
        <f t="shared" si="0"/>
        <v>006Rg00000aRqp1IAC</v>
      </c>
    </row>
    <row r="19" spans="1:14" x14ac:dyDescent="0.4">
      <c r="A19" s="1">
        <v>5</v>
      </c>
      <c r="B19" s="1">
        <v>8</v>
      </c>
      <c r="C19" s="1" t="s">
        <v>396</v>
      </c>
      <c r="D19" s="11" t="s">
        <v>2</v>
      </c>
      <c r="E19" s="1" t="s">
        <v>397</v>
      </c>
      <c r="F19" s="1" t="s">
        <v>134</v>
      </c>
      <c r="G19" s="11" t="e">
        <f>_xlfn.XLOOKUP(M19,'Code Catagories'!A:A,'Code Catagories'!C:C)</f>
        <v>#N/A</v>
      </c>
      <c r="H19" s="1" t="s">
        <v>134</v>
      </c>
      <c r="I19" s="1" t="s">
        <v>134</v>
      </c>
      <c r="J19" s="1" t="s">
        <v>134</v>
      </c>
      <c r="K19" s="1" t="s">
        <v>134</v>
      </c>
      <c r="L19" s="10" t="s">
        <v>135</v>
      </c>
      <c r="M19" s="11" t="str">
        <f t="shared" si="1"/>
        <v>—</v>
      </c>
      <c r="N19" s="1" t="str">
        <f t="shared" si="0"/>
        <v>006Rg00000aRv8jIAC</v>
      </c>
    </row>
    <row r="20" spans="1:14" ht="43.75" x14ac:dyDescent="0.4">
      <c r="A20" s="1">
        <v>5</v>
      </c>
      <c r="B20" s="1">
        <v>8</v>
      </c>
      <c r="C20" s="1" t="s">
        <v>398</v>
      </c>
      <c r="D20" s="11" t="s">
        <v>2</v>
      </c>
      <c r="E20" s="1" t="s">
        <v>134</v>
      </c>
      <c r="F20" s="1" t="s">
        <v>137</v>
      </c>
      <c r="G20" s="11" t="str">
        <f>_xlfn.XLOOKUP(M20,'Code Catagories'!A:A,'Code Catagories'!C:C)</f>
        <v>4B. Ancillary Fees</v>
      </c>
      <c r="H20" s="1" t="s">
        <v>134</v>
      </c>
      <c r="I20" s="1" t="s">
        <v>228</v>
      </c>
      <c r="J20" s="1" t="s">
        <v>203</v>
      </c>
      <c r="K20" s="1" t="s">
        <v>141</v>
      </c>
      <c r="L20" s="10" t="s">
        <v>399</v>
      </c>
      <c r="M20" s="11" t="str">
        <f t="shared" si="1"/>
        <v>4B</v>
      </c>
      <c r="N20" s="1" t="str">
        <f t="shared" si="0"/>
        <v>006Rg00000aS8VpIAK</v>
      </c>
    </row>
    <row r="21" spans="1:14" ht="29.15" x14ac:dyDescent="0.4">
      <c r="A21" s="1">
        <v>5</v>
      </c>
      <c r="B21" s="1">
        <v>8</v>
      </c>
      <c r="C21" s="1" t="s">
        <v>398</v>
      </c>
      <c r="D21" s="11" t="s">
        <v>2</v>
      </c>
      <c r="E21" s="1" t="s">
        <v>134</v>
      </c>
      <c r="F21" s="1" t="s">
        <v>192</v>
      </c>
      <c r="G21" s="11" t="str">
        <f>_xlfn.XLOOKUP(M21,'Code Catagories'!A:A,'Code Catagories'!C:C)</f>
        <v>4D. Contract Mechanics</v>
      </c>
      <c r="H21" s="1" t="s">
        <v>134</v>
      </c>
      <c r="I21" s="1" t="s">
        <v>394</v>
      </c>
      <c r="J21" s="1" t="s">
        <v>203</v>
      </c>
      <c r="K21" s="1" t="s">
        <v>141</v>
      </c>
      <c r="L21" s="10" t="s">
        <v>400</v>
      </c>
      <c r="M21" s="11" t="str">
        <f t="shared" si="1"/>
        <v>4D</v>
      </c>
      <c r="N21" s="1" t="str">
        <f t="shared" si="0"/>
        <v>006Rg00000aS8VpIAK</v>
      </c>
    </row>
    <row r="22" spans="1:14" x14ac:dyDescent="0.4">
      <c r="A22" s="1">
        <v>5</v>
      </c>
      <c r="B22" s="1">
        <v>8</v>
      </c>
      <c r="C22" s="1" t="s">
        <v>401</v>
      </c>
      <c r="D22" s="11" t="s">
        <v>1</v>
      </c>
      <c r="E22" s="1" t="s">
        <v>134</v>
      </c>
      <c r="F22" s="1" t="s">
        <v>134</v>
      </c>
      <c r="G22" s="11" t="e">
        <f>_xlfn.XLOOKUP(M22,'Code Catagories'!A:A,'Code Catagories'!C:C)</f>
        <v>#N/A</v>
      </c>
      <c r="H22" s="1" t="s">
        <v>134</v>
      </c>
      <c r="I22" s="1" t="s">
        <v>134</v>
      </c>
      <c r="J22" s="1" t="s">
        <v>134</v>
      </c>
      <c r="K22" s="1" t="s">
        <v>134</v>
      </c>
      <c r="L22" s="10" t="s">
        <v>135</v>
      </c>
      <c r="M22" s="11" t="str">
        <f t="shared" si="1"/>
        <v>—</v>
      </c>
      <c r="N22" s="1" t="str">
        <f t="shared" si="0"/>
        <v>006Rg00000aSCkhIAG</v>
      </c>
    </row>
    <row r="23" spans="1:14" x14ac:dyDescent="0.4">
      <c r="A23" s="1">
        <v>5</v>
      </c>
      <c r="B23" s="1">
        <v>8</v>
      </c>
      <c r="C23" s="1" t="s">
        <v>402</v>
      </c>
      <c r="D23" s="11" t="s">
        <v>1</v>
      </c>
      <c r="E23" s="1" t="s">
        <v>403</v>
      </c>
      <c r="F23" s="1" t="s">
        <v>134</v>
      </c>
      <c r="G23" s="11" t="e">
        <f>_xlfn.XLOOKUP(M23,'Code Catagories'!A:A,'Code Catagories'!C:C)</f>
        <v>#N/A</v>
      </c>
      <c r="H23" s="1" t="s">
        <v>134</v>
      </c>
      <c r="I23" s="1" t="s">
        <v>134</v>
      </c>
      <c r="J23" s="1" t="s">
        <v>134</v>
      </c>
      <c r="K23" s="1" t="s">
        <v>134</v>
      </c>
      <c r="L23" s="10" t="s">
        <v>135</v>
      </c>
      <c r="M23" s="11" t="str">
        <f t="shared" si="1"/>
        <v>—</v>
      </c>
      <c r="N23" s="1" t="str">
        <f t="shared" si="0"/>
        <v>006Rg00000aSE9lIAG</v>
      </c>
    </row>
    <row r="24" spans="1:14" x14ac:dyDescent="0.4">
      <c r="A24" s="1">
        <v>5</v>
      </c>
      <c r="B24" s="1">
        <v>8</v>
      </c>
      <c r="C24" s="1" t="s">
        <v>404</v>
      </c>
      <c r="D24" s="11" t="s">
        <v>2</v>
      </c>
      <c r="E24" s="1" t="s">
        <v>134</v>
      </c>
      <c r="F24" s="1" t="s">
        <v>134</v>
      </c>
      <c r="G24" s="11" t="e">
        <f>_xlfn.XLOOKUP(M24,'Code Catagories'!A:A,'Code Catagories'!C:C)</f>
        <v>#N/A</v>
      </c>
      <c r="H24" s="1" t="s">
        <v>134</v>
      </c>
      <c r="I24" s="1" t="s">
        <v>134</v>
      </c>
      <c r="J24" s="1" t="s">
        <v>134</v>
      </c>
      <c r="K24" s="1" t="s">
        <v>134</v>
      </c>
      <c r="L24" s="10" t="s">
        <v>135</v>
      </c>
      <c r="M24" s="11" t="str">
        <f t="shared" si="1"/>
        <v>—</v>
      </c>
      <c r="N24" s="1" t="str">
        <f t="shared" si="0"/>
        <v>006Rg00000aSenQIAS</v>
      </c>
    </row>
    <row r="25" spans="1:14" ht="29.15" x14ac:dyDescent="0.4">
      <c r="A25" s="1">
        <v>5</v>
      </c>
      <c r="B25" s="1">
        <v>8</v>
      </c>
      <c r="C25" s="1" t="s">
        <v>405</v>
      </c>
      <c r="D25" s="11" t="s">
        <v>1</v>
      </c>
      <c r="E25" s="1" t="s">
        <v>406</v>
      </c>
      <c r="F25" s="1" t="s">
        <v>137</v>
      </c>
      <c r="G25" s="11" t="str">
        <f>_xlfn.XLOOKUP(M25,'Code Catagories'!A:A,'Code Catagories'!C:C)</f>
        <v>4B. Ancillary Fees</v>
      </c>
      <c r="H25" s="1" t="s">
        <v>138</v>
      </c>
      <c r="I25" s="1" t="s">
        <v>232</v>
      </c>
      <c r="J25" s="1" t="s">
        <v>140</v>
      </c>
      <c r="K25" s="1" t="s">
        <v>141</v>
      </c>
      <c r="L25" s="10" t="s">
        <v>407</v>
      </c>
      <c r="M25" s="11" t="str">
        <f t="shared" si="1"/>
        <v>4B</v>
      </c>
      <c r="N25" s="1" t="str">
        <f t="shared" si="0"/>
        <v>006Rg00000aSgxHIAS</v>
      </c>
    </row>
    <row r="26" spans="1:14" ht="43.75" x14ac:dyDescent="0.4">
      <c r="A26" s="1">
        <v>5</v>
      </c>
      <c r="B26" s="1">
        <v>8</v>
      </c>
      <c r="C26" s="1" t="s">
        <v>405</v>
      </c>
      <c r="D26" s="11" t="s">
        <v>1</v>
      </c>
      <c r="E26" s="1" t="s">
        <v>406</v>
      </c>
      <c r="F26" s="1" t="s">
        <v>137</v>
      </c>
      <c r="G26" s="11" t="str">
        <f>_xlfn.XLOOKUP(M26,'Code Catagories'!A:A,'Code Catagories'!C:C)</f>
        <v>4B. Ancillary Fees</v>
      </c>
      <c r="H26" s="1" t="s">
        <v>134</v>
      </c>
      <c r="I26" s="1" t="s">
        <v>408</v>
      </c>
      <c r="J26" s="1" t="s">
        <v>224</v>
      </c>
      <c r="K26" s="1" t="s">
        <v>141</v>
      </c>
      <c r="L26" s="10" t="s">
        <v>409</v>
      </c>
      <c r="M26" s="11" t="str">
        <f t="shared" si="1"/>
        <v>4B</v>
      </c>
      <c r="N26" s="1" t="str">
        <f t="shared" si="0"/>
        <v>006Rg00000aSgxHIAS</v>
      </c>
    </row>
    <row r="27" spans="1:14" x14ac:dyDescent="0.4">
      <c r="A27" s="1">
        <v>5</v>
      </c>
      <c r="B27" s="1">
        <v>8</v>
      </c>
      <c r="C27" s="1" t="s">
        <v>410</v>
      </c>
      <c r="D27" s="11" t="s">
        <v>1</v>
      </c>
      <c r="E27" s="1" t="s">
        <v>411</v>
      </c>
      <c r="F27" s="1" t="s">
        <v>134</v>
      </c>
      <c r="G27" s="11" t="e">
        <f>_xlfn.XLOOKUP(M27,'Code Catagories'!A:A,'Code Catagories'!C:C)</f>
        <v>#N/A</v>
      </c>
      <c r="H27" s="1" t="s">
        <v>134</v>
      </c>
      <c r="I27" s="1" t="s">
        <v>134</v>
      </c>
      <c r="J27" s="1" t="s">
        <v>134</v>
      </c>
      <c r="K27" s="1" t="s">
        <v>134</v>
      </c>
      <c r="L27" s="10" t="s">
        <v>135</v>
      </c>
      <c r="M27" s="11" t="str">
        <f t="shared" si="1"/>
        <v>—</v>
      </c>
      <c r="N27" s="1" t="str">
        <f t="shared" si="0"/>
        <v>006Rg00000aSHsQIAW</v>
      </c>
    </row>
    <row r="28" spans="1:14" ht="43.75" x14ac:dyDescent="0.4">
      <c r="A28" s="1">
        <v>5</v>
      </c>
      <c r="B28" s="1">
        <v>8</v>
      </c>
      <c r="C28" s="1" t="s">
        <v>412</v>
      </c>
      <c r="D28" s="11" t="s">
        <v>2</v>
      </c>
      <c r="E28" s="1" t="s">
        <v>413</v>
      </c>
      <c r="F28" s="1" t="s">
        <v>137</v>
      </c>
      <c r="G28" s="11" t="str">
        <f>_xlfn.XLOOKUP(M28,'Code Catagories'!A:A,'Code Catagories'!C:C)</f>
        <v>4B. Ancillary Fees</v>
      </c>
      <c r="H28" s="1" t="s">
        <v>134</v>
      </c>
      <c r="I28" s="1" t="s">
        <v>408</v>
      </c>
      <c r="J28" s="1" t="s">
        <v>224</v>
      </c>
      <c r="K28" s="1" t="s">
        <v>141</v>
      </c>
      <c r="L28" s="10" t="s">
        <v>414</v>
      </c>
      <c r="M28" s="11" t="str">
        <f t="shared" si="1"/>
        <v>4B</v>
      </c>
      <c r="N28" s="1" t="str">
        <f t="shared" si="0"/>
        <v>006Rg00000aSRwbIAG</v>
      </c>
    </row>
    <row r="29" spans="1:14" x14ac:dyDescent="0.4">
      <c r="A29" s="1">
        <v>5</v>
      </c>
      <c r="B29" s="1">
        <v>8</v>
      </c>
      <c r="C29" s="1" t="s">
        <v>415</v>
      </c>
      <c r="D29" s="11" t="s">
        <v>2</v>
      </c>
      <c r="E29" s="1" t="s">
        <v>416</v>
      </c>
      <c r="F29" s="1" t="s">
        <v>134</v>
      </c>
      <c r="G29" s="11" t="e">
        <f>_xlfn.XLOOKUP(M29,'Code Catagories'!A:A,'Code Catagories'!C:C)</f>
        <v>#N/A</v>
      </c>
      <c r="H29" s="1" t="s">
        <v>134</v>
      </c>
      <c r="I29" s="1" t="s">
        <v>134</v>
      </c>
      <c r="J29" s="1" t="s">
        <v>134</v>
      </c>
      <c r="K29" s="1" t="s">
        <v>134</v>
      </c>
      <c r="L29" s="10" t="s">
        <v>135</v>
      </c>
      <c r="M29" s="11" t="str">
        <f t="shared" si="1"/>
        <v>—</v>
      </c>
      <c r="N29" s="1" t="str">
        <f t="shared" si="0"/>
        <v>006Rg00000aTAdbIAG</v>
      </c>
    </row>
    <row r="30" spans="1:14" x14ac:dyDescent="0.4">
      <c r="A30" s="1">
        <v>5</v>
      </c>
      <c r="B30" s="1">
        <v>8</v>
      </c>
      <c r="C30" s="1" t="s">
        <v>417</v>
      </c>
      <c r="D30" s="11" t="s">
        <v>2</v>
      </c>
      <c r="E30" s="1" t="s">
        <v>418</v>
      </c>
      <c r="F30" s="1" t="s">
        <v>134</v>
      </c>
      <c r="G30" s="11" t="e">
        <f>_xlfn.XLOOKUP(M30,'Code Catagories'!A:A,'Code Catagories'!C:C)</f>
        <v>#N/A</v>
      </c>
      <c r="H30" s="1" t="s">
        <v>134</v>
      </c>
      <c r="I30" s="1" t="s">
        <v>134</v>
      </c>
      <c r="J30" s="1" t="s">
        <v>134</v>
      </c>
      <c r="K30" s="1" t="s">
        <v>134</v>
      </c>
      <c r="L30" s="10" t="s">
        <v>135</v>
      </c>
      <c r="M30" s="11" t="str">
        <f t="shared" si="1"/>
        <v>—</v>
      </c>
      <c r="N30" s="1" t="str">
        <f t="shared" si="0"/>
        <v>006Rg00000aTQtdIAG</v>
      </c>
    </row>
    <row r="31" spans="1:14" x14ac:dyDescent="0.4">
      <c r="A31" s="1">
        <v>5</v>
      </c>
      <c r="B31" s="1">
        <v>8</v>
      </c>
      <c r="C31" s="1" t="s">
        <v>419</v>
      </c>
      <c r="D31" s="11" t="s">
        <v>1</v>
      </c>
      <c r="E31" s="1" t="s">
        <v>134</v>
      </c>
      <c r="F31" s="1" t="s">
        <v>134</v>
      </c>
      <c r="G31" s="11" t="e">
        <f>_xlfn.XLOOKUP(M31,'Code Catagories'!A:A,'Code Catagories'!C:C)</f>
        <v>#N/A</v>
      </c>
      <c r="H31" s="1" t="s">
        <v>134</v>
      </c>
      <c r="I31" s="1" t="s">
        <v>134</v>
      </c>
      <c r="J31" s="1" t="s">
        <v>134</v>
      </c>
      <c r="K31" s="1" t="s">
        <v>134</v>
      </c>
      <c r="L31" s="10" t="s">
        <v>135</v>
      </c>
      <c r="M31" s="11" t="str">
        <f t="shared" si="1"/>
        <v>—</v>
      </c>
      <c r="N31" s="1" t="str">
        <f t="shared" si="0"/>
        <v>006Rg00000aufdFIAQ</v>
      </c>
    </row>
    <row r="32" spans="1:14" x14ac:dyDescent="0.4">
      <c r="A32" s="1">
        <v>5</v>
      </c>
      <c r="B32" s="1">
        <v>8</v>
      </c>
      <c r="C32" s="1" t="s">
        <v>420</v>
      </c>
      <c r="D32" s="11" t="s">
        <v>1</v>
      </c>
      <c r="E32" s="1" t="s">
        <v>421</v>
      </c>
      <c r="F32" s="1" t="s">
        <v>134</v>
      </c>
      <c r="G32" s="11" t="e">
        <f>_xlfn.XLOOKUP(M32,'Code Catagories'!A:A,'Code Catagories'!C:C)</f>
        <v>#N/A</v>
      </c>
      <c r="H32" s="1" t="s">
        <v>134</v>
      </c>
      <c r="I32" s="1" t="s">
        <v>134</v>
      </c>
      <c r="J32" s="1" t="s">
        <v>134</v>
      </c>
      <c r="K32" s="1" t="s">
        <v>134</v>
      </c>
      <c r="L32" s="10" t="s">
        <v>135</v>
      </c>
      <c r="M32" s="11" t="str">
        <f t="shared" si="1"/>
        <v>—</v>
      </c>
      <c r="N32" s="1" t="str">
        <f t="shared" si="0"/>
        <v>006Rg00000aug1SIAQ</v>
      </c>
    </row>
    <row r="33" spans="1:14" ht="43.75" x14ac:dyDescent="0.4">
      <c r="A33" s="1">
        <v>5</v>
      </c>
      <c r="B33" s="1">
        <v>8</v>
      </c>
      <c r="C33" s="1" t="s">
        <v>422</v>
      </c>
      <c r="D33" s="11" t="s">
        <v>1</v>
      </c>
      <c r="E33" s="1" t="s">
        <v>423</v>
      </c>
      <c r="F33" s="1" t="s">
        <v>166</v>
      </c>
      <c r="G33" s="11" t="str">
        <f>_xlfn.XLOOKUP(M33,'Code Catagories'!A:A,'Code Catagories'!C:C)</f>
        <v>4F. Promotion Ineligibility</v>
      </c>
      <c r="H33" s="1" t="s">
        <v>134</v>
      </c>
      <c r="I33" s="1" t="s">
        <v>275</v>
      </c>
      <c r="J33" s="1" t="s">
        <v>203</v>
      </c>
      <c r="K33" s="1" t="s">
        <v>141</v>
      </c>
      <c r="L33" s="10" t="s">
        <v>424</v>
      </c>
      <c r="M33" s="11" t="str">
        <f t="shared" si="1"/>
        <v>4F</v>
      </c>
      <c r="N33" s="1" t="str">
        <f t="shared" si="0"/>
        <v>006Rg00000auiZVIAY</v>
      </c>
    </row>
    <row r="34" spans="1:14" x14ac:dyDescent="0.4">
      <c r="A34" s="1">
        <v>5</v>
      </c>
      <c r="B34" s="1">
        <v>8</v>
      </c>
      <c r="C34" s="1" t="s">
        <v>425</v>
      </c>
      <c r="D34" s="11" t="s">
        <v>1</v>
      </c>
      <c r="E34" s="1" t="s">
        <v>426</v>
      </c>
      <c r="F34" s="1" t="s">
        <v>134</v>
      </c>
      <c r="G34" s="11" t="e">
        <f>_xlfn.XLOOKUP(M34,'Code Catagories'!A:A,'Code Catagories'!C:C)</f>
        <v>#N/A</v>
      </c>
      <c r="H34" s="1" t="s">
        <v>134</v>
      </c>
      <c r="I34" s="1" t="s">
        <v>134</v>
      </c>
      <c r="J34" s="1" t="s">
        <v>134</v>
      </c>
      <c r="K34" s="1" t="s">
        <v>134</v>
      </c>
      <c r="L34" s="10" t="s">
        <v>135</v>
      </c>
      <c r="M34" s="11" t="str">
        <f t="shared" si="1"/>
        <v>—</v>
      </c>
      <c r="N34" s="1" t="str">
        <f t="shared" ref="N34:N65" si="2">TRIM(C34)</f>
        <v>006Rg00000aUuknIAC</v>
      </c>
    </row>
    <row r="35" spans="1:14" ht="43.75" x14ac:dyDescent="0.4">
      <c r="A35" s="1">
        <v>5</v>
      </c>
      <c r="B35" s="1">
        <v>8</v>
      </c>
      <c r="C35" s="1" t="s">
        <v>427</v>
      </c>
      <c r="D35" s="11" t="s">
        <v>2</v>
      </c>
      <c r="E35" s="1" t="s">
        <v>428</v>
      </c>
      <c r="F35" s="1" t="s">
        <v>153</v>
      </c>
      <c r="G35" s="11" t="str">
        <f>_xlfn.XLOOKUP(M35,'Code Catagories'!A:A,'Code Catagories'!C:C)</f>
        <v>4E. Availability / Serviceability</v>
      </c>
      <c r="H35" s="1" t="s">
        <v>134</v>
      </c>
      <c r="I35" s="1" t="s">
        <v>154</v>
      </c>
      <c r="J35" s="1" t="s">
        <v>224</v>
      </c>
      <c r="K35" s="1" t="s">
        <v>141</v>
      </c>
      <c r="L35" s="10" t="s">
        <v>429</v>
      </c>
      <c r="M35" s="11" t="str">
        <f t="shared" si="1"/>
        <v>4E</v>
      </c>
      <c r="N35" s="1" t="str">
        <f t="shared" si="2"/>
        <v>006Rg00000auz5lIAA</v>
      </c>
    </row>
    <row r="36" spans="1:14" x14ac:dyDescent="0.4">
      <c r="A36" s="1">
        <v>5</v>
      </c>
      <c r="B36" s="1">
        <v>8</v>
      </c>
      <c r="C36" s="1" t="s">
        <v>430</v>
      </c>
      <c r="D36" s="11" t="s">
        <v>1</v>
      </c>
      <c r="E36" s="1" t="s">
        <v>365</v>
      </c>
      <c r="F36" s="1" t="s">
        <v>134</v>
      </c>
      <c r="G36" s="11" t="e">
        <f>_xlfn.XLOOKUP(M36,'Code Catagories'!A:A,'Code Catagories'!C:C)</f>
        <v>#N/A</v>
      </c>
      <c r="H36" s="1" t="s">
        <v>134</v>
      </c>
      <c r="I36" s="1" t="s">
        <v>134</v>
      </c>
      <c r="J36" s="1" t="s">
        <v>134</v>
      </c>
      <c r="K36" s="1" t="s">
        <v>134</v>
      </c>
      <c r="L36" s="10" t="s">
        <v>135</v>
      </c>
      <c r="M36" s="11" t="str">
        <f t="shared" si="1"/>
        <v>—</v>
      </c>
      <c r="N36" s="1" t="str">
        <f t="shared" si="2"/>
        <v>006Rg00000av7b7IAA</v>
      </c>
    </row>
    <row r="37" spans="1:14" ht="43.75" x14ac:dyDescent="0.4">
      <c r="A37" s="1">
        <v>5</v>
      </c>
      <c r="B37" s="1">
        <v>9</v>
      </c>
      <c r="C37" s="1" t="s">
        <v>431</v>
      </c>
      <c r="D37" s="11" t="s">
        <v>2</v>
      </c>
      <c r="E37" s="1" t="s">
        <v>391</v>
      </c>
      <c r="F37" s="1" t="s">
        <v>192</v>
      </c>
      <c r="G37" s="11" t="str">
        <f>_xlfn.XLOOKUP(M37,'Code Catagories'!A:A,'Code Catagories'!C:C)</f>
        <v>4D. Contract Mechanics</v>
      </c>
      <c r="H37" s="1" t="s">
        <v>134</v>
      </c>
      <c r="I37" s="1" t="s">
        <v>394</v>
      </c>
      <c r="J37" s="1" t="s">
        <v>203</v>
      </c>
      <c r="K37" s="1" t="s">
        <v>141</v>
      </c>
      <c r="L37" s="10" t="s">
        <v>432</v>
      </c>
      <c r="M37" s="11" t="str">
        <f t="shared" si="1"/>
        <v>4D</v>
      </c>
      <c r="N37" s="1" t="str">
        <f t="shared" si="2"/>
        <v>006Rg00000aV8cTIAS</v>
      </c>
    </row>
    <row r="38" spans="1:14" ht="29.15" x14ac:dyDescent="0.4">
      <c r="A38" s="1">
        <v>5</v>
      </c>
      <c r="B38" s="1">
        <v>9</v>
      </c>
      <c r="C38" s="1" t="s">
        <v>433</v>
      </c>
      <c r="D38" s="11" t="s">
        <v>2</v>
      </c>
      <c r="E38" s="1" t="s">
        <v>434</v>
      </c>
      <c r="F38" s="1" t="s">
        <v>222</v>
      </c>
      <c r="G38" s="11" t="str">
        <f>_xlfn.XLOOKUP(M38,'Code Catagories'!A:A,'Code Catagories'!C:C)</f>
        <v>4C. Commercial Model</v>
      </c>
      <c r="H38" s="1" t="s">
        <v>134</v>
      </c>
      <c r="I38" s="1" t="s">
        <v>279</v>
      </c>
      <c r="J38" s="1" t="s">
        <v>203</v>
      </c>
      <c r="K38" s="1" t="s">
        <v>141</v>
      </c>
      <c r="L38" s="10" t="s">
        <v>435</v>
      </c>
      <c r="M38" s="11" t="str">
        <f t="shared" si="1"/>
        <v>4C</v>
      </c>
      <c r="N38" s="1" t="str">
        <f t="shared" si="2"/>
        <v>006Rg00000av534IAA</v>
      </c>
    </row>
    <row r="39" spans="1:14" x14ac:dyDescent="0.4">
      <c r="A39" s="1">
        <v>5</v>
      </c>
      <c r="B39" s="1">
        <v>9</v>
      </c>
      <c r="C39" s="1" t="s">
        <v>436</v>
      </c>
      <c r="D39" s="11" t="s">
        <v>1</v>
      </c>
      <c r="E39" s="1" t="s">
        <v>437</v>
      </c>
      <c r="F39" s="1" t="s">
        <v>134</v>
      </c>
      <c r="G39" s="11" t="e">
        <f>_xlfn.XLOOKUP(M39,'Code Catagories'!A:A,'Code Catagories'!C:C)</f>
        <v>#N/A</v>
      </c>
      <c r="H39" s="1" t="s">
        <v>134</v>
      </c>
      <c r="I39" s="1" t="s">
        <v>134</v>
      </c>
      <c r="J39" s="1" t="s">
        <v>134</v>
      </c>
      <c r="K39" s="1" t="s">
        <v>134</v>
      </c>
      <c r="L39" s="10" t="s">
        <v>135</v>
      </c>
      <c r="M39" s="11" t="str">
        <f t="shared" si="1"/>
        <v>—</v>
      </c>
      <c r="N39" s="1" t="str">
        <f t="shared" si="2"/>
        <v>006Rg00000aVDHCIA4</v>
      </c>
    </row>
    <row r="40" spans="1:14" ht="29.15" x14ac:dyDescent="0.4">
      <c r="A40" s="1">
        <v>5</v>
      </c>
      <c r="B40" s="1">
        <v>9</v>
      </c>
      <c r="C40" s="1" t="s">
        <v>438</v>
      </c>
      <c r="D40" s="11" t="s">
        <v>1</v>
      </c>
      <c r="E40" s="1" t="s">
        <v>134</v>
      </c>
      <c r="F40" s="1" t="s">
        <v>137</v>
      </c>
      <c r="G40" s="11" t="str">
        <f>_xlfn.XLOOKUP(M40,'Code Catagories'!A:A,'Code Catagories'!C:C)</f>
        <v>4B. Ancillary Fees</v>
      </c>
      <c r="H40" s="1" t="s">
        <v>138</v>
      </c>
      <c r="I40" s="1" t="s">
        <v>232</v>
      </c>
      <c r="J40" s="1" t="s">
        <v>147</v>
      </c>
      <c r="K40" s="1" t="s">
        <v>148</v>
      </c>
      <c r="L40" s="10" t="s">
        <v>439</v>
      </c>
      <c r="M40" s="11" t="str">
        <f t="shared" si="1"/>
        <v>4B</v>
      </c>
      <c r="N40" s="1" t="str">
        <f t="shared" si="2"/>
        <v>006Rg00000avGw9IAE</v>
      </c>
    </row>
    <row r="41" spans="1:14" ht="29.15" x14ac:dyDescent="0.4">
      <c r="A41" s="1">
        <v>5</v>
      </c>
      <c r="B41" s="1">
        <v>9</v>
      </c>
      <c r="C41" s="1" t="s">
        <v>440</v>
      </c>
      <c r="D41" s="11" t="s">
        <v>1</v>
      </c>
      <c r="E41" s="1" t="s">
        <v>441</v>
      </c>
      <c r="F41" s="1" t="s">
        <v>222</v>
      </c>
      <c r="G41" s="11" t="str">
        <f>_xlfn.XLOOKUP(M41,'Code Catagories'!A:A,'Code Catagories'!C:C)</f>
        <v>4C. Commercial Model</v>
      </c>
      <c r="H41" s="1" t="s">
        <v>134</v>
      </c>
      <c r="I41" s="1" t="s">
        <v>321</v>
      </c>
      <c r="J41" s="1" t="s">
        <v>203</v>
      </c>
      <c r="K41" s="1" t="s">
        <v>141</v>
      </c>
      <c r="L41" s="10" t="s">
        <v>442</v>
      </c>
      <c r="M41" s="11" t="str">
        <f t="shared" si="1"/>
        <v>4C</v>
      </c>
      <c r="N41" s="1" t="str">
        <f t="shared" si="2"/>
        <v>006Rg00000aVJhZIAW</v>
      </c>
    </row>
    <row r="42" spans="1:14" x14ac:dyDescent="0.4">
      <c r="A42" s="1">
        <v>5</v>
      </c>
      <c r="B42" s="1">
        <v>9</v>
      </c>
      <c r="C42" s="1" t="s">
        <v>443</v>
      </c>
      <c r="D42" s="11" t="s">
        <v>1</v>
      </c>
      <c r="E42" s="1" t="s">
        <v>134</v>
      </c>
      <c r="F42" s="1" t="s">
        <v>134</v>
      </c>
      <c r="G42" s="11" t="e">
        <f>_xlfn.XLOOKUP(M42,'Code Catagories'!A:A,'Code Catagories'!C:C)</f>
        <v>#N/A</v>
      </c>
      <c r="H42" s="1" t="s">
        <v>134</v>
      </c>
      <c r="I42" s="1" t="s">
        <v>134</v>
      </c>
      <c r="J42" s="1" t="s">
        <v>134</v>
      </c>
      <c r="K42" s="1" t="s">
        <v>134</v>
      </c>
      <c r="L42" s="10" t="s">
        <v>135</v>
      </c>
      <c r="M42" s="11" t="str">
        <f t="shared" si="1"/>
        <v>—</v>
      </c>
      <c r="N42" s="1" t="str">
        <f t="shared" si="2"/>
        <v>006Rg00000aVKnKIAW</v>
      </c>
    </row>
    <row r="43" spans="1:14" x14ac:dyDescent="0.4">
      <c r="A43" s="1">
        <v>5</v>
      </c>
      <c r="B43" s="1">
        <v>9</v>
      </c>
      <c r="C43" s="1" t="s">
        <v>444</v>
      </c>
      <c r="D43" s="11" t="s">
        <v>2</v>
      </c>
      <c r="E43" s="1" t="s">
        <v>445</v>
      </c>
      <c r="F43" s="1" t="s">
        <v>134</v>
      </c>
      <c r="G43" s="11" t="e">
        <f>_xlfn.XLOOKUP(M43,'Code Catagories'!A:A,'Code Catagories'!C:C)</f>
        <v>#N/A</v>
      </c>
      <c r="H43" s="1" t="s">
        <v>134</v>
      </c>
      <c r="I43" s="1" t="s">
        <v>134</v>
      </c>
      <c r="J43" s="1" t="s">
        <v>134</v>
      </c>
      <c r="K43" s="1" t="s">
        <v>134</v>
      </c>
      <c r="L43" s="10" t="s">
        <v>135</v>
      </c>
      <c r="M43" s="11" t="str">
        <f t="shared" si="1"/>
        <v>—</v>
      </c>
      <c r="N43" s="1" t="str">
        <f t="shared" si="2"/>
        <v>006Rg00000avlwjIAA</v>
      </c>
    </row>
    <row r="44" spans="1:14" ht="29.15" x14ac:dyDescent="0.4">
      <c r="A44" s="1">
        <v>5</v>
      </c>
      <c r="B44" s="1">
        <v>9</v>
      </c>
      <c r="C44" s="1" t="s">
        <v>446</v>
      </c>
      <c r="D44" s="11" t="s">
        <v>1</v>
      </c>
      <c r="E44" s="1" t="s">
        <v>134</v>
      </c>
      <c r="F44" s="1" t="s">
        <v>137</v>
      </c>
      <c r="G44" s="11" t="str">
        <f>_xlfn.XLOOKUP(M44,'Code Catagories'!A:A,'Code Catagories'!C:C)</f>
        <v>4B. Ancillary Fees</v>
      </c>
      <c r="H44" s="1" t="s">
        <v>134</v>
      </c>
      <c r="I44" s="1" t="s">
        <v>408</v>
      </c>
      <c r="J44" s="1" t="s">
        <v>203</v>
      </c>
      <c r="K44" s="1" t="s">
        <v>141</v>
      </c>
      <c r="L44" s="10" t="s">
        <v>447</v>
      </c>
      <c r="M44" s="11" t="str">
        <f t="shared" si="1"/>
        <v>4B</v>
      </c>
      <c r="N44" s="1" t="str">
        <f t="shared" si="2"/>
        <v>006Rg00000avQlpIAE</v>
      </c>
    </row>
    <row r="45" spans="1:14" x14ac:dyDescent="0.4">
      <c r="A45" s="1">
        <v>5</v>
      </c>
      <c r="B45" s="1">
        <v>9</v>
      </c>
      <c r="C45" s="1" t="s">
        <v>448</v>
      </c>
      <c r="D45" s="11" t="s">
        <v>1</v>
      </c>
      <c r="E45" s="1" t="s">
        <v>134</v>
      </c>
      <c r="F45" s="1" t="s">
        <v>134</v>
      </c>
      <c r="G45" s="11" t="e">
        <f>_xlfn.XLOOKUP(M45,'Code Catagories'!A:A,'Code Catagories'!C:C)</f>
        <v>#N/A</v>
      </c>
      <c r="H45" s="1" t="s">
        <v>134</v>
      </c>
      <c r="I45" s="1" t="s">
        <v>134</v>
      </c>
      <c r="J45" s="1" t="s">
        <v>134</v>
      </c>
      <c r="K45" s="1" t="s">
        <v>134</v>
      </c>
      <c r="L45" s="10" t="s">
        <v>135</v>
      </c>
      <c r="M45" s="11" t="str">
        <f t="shared" si="1"/>
        <v>—</v>
      </c>
      <c r="N45" s="1" t="str">
        <f t="shared" si="2"/>
        <v>006Rg00000aVQvxIAG</v>
      </c>
    </row>
    <row r="46" spans="1:14" x14ac:dyDescent="0.4">
      <c r="A46" s="1">
        <v>5</v>
      </c>
      <c r="B46" s="1">
        <v>9</v>
      </c>
      <c r="C46" s="1" t="s">
        <v>449</v>
      </c>
      <c r="D46" s="11" t="s">
        <v>2</v>
      </c>
      <c r="E46" s="1" t="s">
        <v>397</v>
      </c>
      <c r="F46" s="1" t="s">
        <v>134</v>
      </c>
      <c r="G46" s="11" t="e">
        <f>_xlfn.XLOOKUP(M46,'Code Catagories'!A:A,'Code Catagories'!C:C)</f>
        <v>#N/A</v>
      </c>
      <c r="H46" s="1" t="s">
        <v>134</v>
      </c>
      <c r="I46" s="1" t="s">
        <v>134</v>
      </c>
      <c r="J46" s="1" t="s">
        <v>134</v>
      </c>
      <c r="K46" s="1" t="s">
        <v>134</v>
      </c>
      <c r="L46" s="10" t="s">
        <v>135</v>
      </c>
      <c r="M46" s="11" t="str">
        <f t="shared" si="1"/>
        <v>—</v>
      </c>
      <c r="N46" s="1" t="str">
        <f t="shared" si="2"/>
        <v>006Rg00000avrquIAA</v>
      </c>
    </row>
    <row r="47" spans="1:14" ht="29.15" x14ac:dyDescent="0.4">
      <c r="A47" s="1">
        <v>5</v>
      </c>
      <c r="B47" s="1">
        <v>9</v>
      </c>
      <c r="C47" s="1" t="s">
        <v>450</v>
      </c>
      <c r="D47" s="11" t="s">
        <v>2</v>
      </c>
      <c r="E47" s="1" t="s">
        <v>451</v>
      </c>
      <c r="F47" s="1" t="s">
        <v>137</v>
      </c>
      <c r="G47" s="11" t="str">
        <f>_xlfn.XLOOKUP(M47,'Code Catagories'!A:A,'Code Catagories'!C:C)</f>
        <v>4B. Ancillary Fees</v>
      </c>
      <c r="H47" s="1" t="s">
        <v>134</v>
      </c>
      <c r="I47" s="1" t="s">
        <v>207</v>
      </c>
      <c r="J47" s="1" t="s">
        <v>203</v>
      </c>
      <c r="K47" s="1" t="s">
        <v>141</v>
      </c>
      <c r="L47" s="10" t="s">
        <v>452</v>
      </c>
      <c r="M47" s="11" t="str">
        <f t="shared" si="1"/>
        <v>4B</v>
      </c>
      <c r="N47" s="1" t="str">
        <f t="shared" si="2"/>
        <v>006Rg00000avt7uIAA</v>
      </c>
    </row>
    <row r="48" spans="1:14" ht="29.15" x14ac:dyDescent="0.4">
      <c r="A48" s="1">
        <v>5</v>
      </c>
      <c r="B48" s="1">
        <v>9</v>
      </c>
      <c r="C48" s="1" t="s">
        <v>450</v>
      </c>
      <c r="D48" s="11" t="s">
        <v>2</v>
      </c>
      <c r="E48" s="1" t="s">
        <v>451</v>
      </c>
      <c r="F48" s="1" t="s">
        <v>192</v>
      </c>
      <c r="G48" s="11" t="str">
        <f>_xlfn.XLOOKUP(M48,'Code Catagories'!A:A,'Code Catagories'!C:C)</f>
        <v>4D. Contract Mechanics</v>
      </c>
      <c r="H48" s="1" t="s">
        <v>134</v>
      </c>
      <c r="I48" s="1" t="s">
        <v>394</v>
      </c>
      <c r="J48" s="1" t="s">
        <v>224</v>
      </c>
      <c r="K48" s="1" t="s">
        <v>141</v>
      </c>
      <c r="L48" s="10" t="s">
        <v>453</v>
      </c>
      <c r="M48" s="11" t="str">
        <f t="shared" si="1"/>
        <v>4D</v>
      </c>
      <c r="N48" s="1" t="str">
        <f t="shared" si="2"/>
        <v>006Rg00000avt7uIAA</v>
      </c>
    </row>
    <row r="49" spans="1:14" ht="29.15" x14ac:dyDescent="0.4">
      <c r="A49" s="1">
        <v>5</v>
      </c>
      <c r="B49" s="1">
        <v>9</v>
      </c>
      <c r="C49" s="1" t="s">
        <v>454</v>
      </c>
      <c r="D49" s="11" t="s">
        <v>1</v>
      </c>
      <c r="E49" s="1" t="s">
        <v>134</v>
      </c>
      <c r="F49" s="1" t="s">
        <v>137</v>
      </c>
      <c r="G49" s="11" t="str">
        <f>_xlfn.XLOOKUP(M49,'Code Catagories'!A:A,'Code Catagories'!C:C)</f>
        <v>4B. Ancillary Fees</v>
      </c>
      <c r="H49" s="1" t="s">
        <v>134</v>
      </c>
      <c r="I49" s="1" t="s">
        <v>455</v>
      </c>
      <c r="J49" s="1" t="s">
        <v>245</v>
      </c>
      <c r="K49" s="1" t="s">
        <v>141</v>
      </c>
      <c r="L49" s="10" t="s">
        <v>456</v>
      </c>
      <c r="M49" s="11" t="str">
        <f t="shared" si="1"/>
        <v>4B</v>
      </c>
      <c r="N49" s="1" t="str">
        <f t="shared" si="2"/>
        <v>006Rg00000avTetIAE</v>
      </c>
    </row>
    <row r="50" spans="1:14" x14ac:dyDescent="0.4">
      <c r="A50" s="1">
        <v>5</v>
      </c>
      <c r="B50" s="1">
        <v>9</v>
      </c>
      <c r="C50" s="1" t="s">
        <v>457</v>
      </c>
      <c r="D50" s="11" t="s">
        <v>2</v>
      </c>
      <c r="E50" s="1" t="s">
        <v>134</v>
      </c>
      <c r="F50" s="1" t="s">
        <v>134</v>
      </c>
      <c r="G50" s="11" t="e">
        <f>_xlfn.XLOOKUP(M50,'Code Catagories'!A:A,'Code Catagories'!C:C)</f>
        <v>#N/A</v>
      </c>
      <c r="H50" s="1" t="s">
        <v>134</v>
      </c>
      <c r="I50" s="1" t="s">
        <v>134</v>
      </c>
      <c r="J50" s="1" t="s">
        <v>134</v>
      </c>
      <c r="K50" s="1" t="s">
        <v>134</v>
      </c>
      <c r="L50" s="10" t="s">
        <v>135</v>
      </c>
      <c r="M50" s="11" t="str">
        <f t="shared" si="1"/>
        <v>—</v>
      </c>
      <c r="N50" s="1" t="str">
        <f t="shared" si="2"/>
        <v>006Rg00000avzYHIAY</v>
      </c>
    </row>
    <row r="51" spans="1:14" x14ac:dyDescent="0.4">
      <c r="A51" s="1">
        <v>5</v>
      </c>
      <c r="B51" s="1">
        <v>9</v>
      </c>
      <c r="C51" s="1" t="s">
        <v>458</v>
      </c>
      <c r="D51" s="11" t="s">
        <v>1</v>
      </c>
      <c r="E51" s="1" t="s">
        <v>134</v>
      </c>
      <c r="F51" s="1" t="s">
        <v>134</v>
      </c>
      <c r="G51" s="11" t="e">
        <f>_xlfn.XLOOKUP(M51,'Code Catagories'!A:A,'Code Catagories'!C:C)</f>
        <v>#N/A</v>
      </c>
      <c r="H51" s="1" t="s">
        <v>134</v>
      </c>
      <c r="I51" s="1" t="s">
        <v>134</v>
      </c>
      <c r="J51" s="1" t="s">
        <v>134</v>
      </c>
      <c r="K51" s="1" t="s">
        <v>134</v>
      </c>
      <c r="L51" s="10" t="s">
        <v>135</v>
      </c>
      <c r="M51" s="11" t="str">
        <f t="shared" si="1"/>
        <v>—</v>
      </c>
      <c r="N51" s="1" t="str">
        <f t="shared" si="2"/>
        <v>006Rg00000aW2TOIA0</v>
      </c>
    </row>
    <row r="52" spans="1:14" x14ac:dyDescent="0.4">
      <c r="A52" s="1">
        <v>5</v>
      </c>
      <c r="B52" s="1">
        <v>10</v>
      </c>
      <c r="C52" s="1" t="s">
        <v>460</v>
      </c>
      <c r="D52" s="11" t="s">
        <v>2</v>
      </c>
      <c r="E52" s="1" t="s">
        <v>461</v>
      </c>
      <c r="F52" s="1" t="s">
        <v>134</v>
      </c>
      <c r="G52" s="11" t="e">
        <f>_xlfn.XLOOKUP(M52,'Code Catagories'!A:A,'Code Catagories'!C:C)</f>
        <v>#N/A</v>
      </c>
      <c r="H52" s="1" t="s">
        <v>134</v>
      </c>
      <c r="I52" s="1" t="s">
        <v>134</v>
      </c>
      <c r="J52" s="1" t="s">
        <v>134</v>
      </c>
      <c r="K52" s="1" t="s">
        <v>134</v>
      </c>
      <c r="L52" s="10" t="s">
        <v>135</v>
      </c>
      <c r="M52" s="11" t="str">
        <f t="shared" si="1"/>
        <v>—</v>
      </c>
      <c r="N52" s="1" t="str">
        <f t="shared" si="2"/>
        <v>006Rg00000aW6aDIAS</v>
      </c>
    </row>
    <row r="53" spans="1:14" ht="29.15" x14ac:dyDescent="0.4">
      <c r="A53" s="1">
        <v>5</v>
      </c>
      <c r="B53" s="1">
        <v>10</v>
      </c>
      <c r="C53" s="1" t="s">
        <v>462</v>
      </c>
      <c r="D53" s="11" t="s">
        <v>1</v>
      </c>
      <c r="E53" s="1" t="s">
        <v>463</v>
      </c>
      <c r="F53" s="1" t="s">
        <v>145</v>
      </c>
      <c r="G53" s="11" t="str">
        <f>_xlfn.XLOOKUP(M53,'Code Catagories'!A:A,'Code Catagories'!C:C)</f>
        <v>4A. Rate Uncompetitive</v>
      </c>
      <c r="H53" s="1" t="s">
        <v>138</v>
      </c>
      <c r="I53" s="1" t="s">
        <v>241</v>
      </c>
      <c r="J53" s="1" t="s">
        <v>147</v>
      </c>
      <c r="K53" s="1" t="s">
        <v>148</v>
      </c>
      <c r="L53" s="10" t="s">
        <v>464</v>
      </c>
      <c r="M53" s="11" t="str">
        <f t="shared" si="1"/>
        <v>4A</v>
      </c>
      <c r="N53" s="1" t="str">
        <f t="shared" si="2"/>
        <v>006Rg00000aWCirIAG</v>
      </c>
    </row>
    <row r="54" spans="1:14" ht="29.15" x14ac:dyDescent="0.4">
      <c r="A54" s="1">
        <v>5</v>
      </c>
      <c r="B54" s="1">
        <v>10</v>
      </c>
      <c r="C54" s="1" t="s">
        <v>462</v>
      </c>
      <c r="D54" s="11" t="s">
        <v>1</v>
      </c>
      <c r="E54" s="1" t="s">
        <v>463</v>
      </c>
      <c r="F54" s="1" t="s">
        <v>222</v>
      </c>
      <c r="G54" s="11" t="str">
        <f>_xlfn.XLOOKUP(M54,'Code Catagories'!A:A,'Code Catagories'!C:C)</f>
        <v>4C. Commercial Model</v>
      </c>
      <c r="H54" s="1" t="s">
        <v>134</v>
      </c>
      <c r="I54" s="1" t="s">
        <v>223</v>
      </c>
      <c r="J54" s="1" t="s">
        <v>203</v>
      </c>
      <c r="K54" s="1" t="s">
        <v>141</v>
      </c>
      <c r="L54" s="10" t="s">
        <v>465</v>
      </c>
      <c r="M54" s="11" t="str">
        <f t="shared" si="1"/>
        <v>4C</v>
      </c>
      <c r="N54" s="1" t="str">
        <f t="shared" si="2"/>
        <v>006Rg00000aWCirIAG</v>
      </c>
    </row>
    <row r="55" spans="1:14" x14ac:dyDescent="0.4">
      <c r="A55" s="1">
        <v>5</v>
      </c>
      <c r="B55" s="1">
        <v>10</v>
      </c>
      <c r="C55" s="1" t="s">
        <v>466</v>
      </c>
      <c r="D55" s="11" t="s">
        <v>1</v>
      </c>
      <c r="E55" s="1" t="s">
        <v>467</v>
      </c>
      <c r="F55" s="1" t="s">
        <v>134</v>
      </c>
      <c r="G55" s="11" t="e">
        <f>_xlfn.XLOOKUP(M55,'Code Catagories'!A:A,'Code Catagories'!C:C)</f>
        <v>#N/A</v>
      </c>
      <c r="H55" s="1" t="s">
        <v>134</v>
      </c>
      <c r="I55" s="1" t="s">
        <v>134</v>
      </c>
      <c r="J55" s="1" t="s">
        <v>134</v>
      </c>
      <c r="K55" s="1" t="s">
        <v>134</v>
      </c>
      <c r="L55" s="10" t="s">
        <v>135</v>
      </c>
      <c r="M55" s="11" t="str">
        <f t="shared" si="1"/>
        <v>—</v>
      </c>
      <c r="N55" s="1" t="str">
        <f t="shared" si="2"/>
        <v>006Rg00000aXaxeIAC</v>
      </c>
    </row>
    <row r="56" spans="1:14" x14ac:dyDescent="0.4">
      <c r="A56" s="1">
        <v>5</v>
      </c>
      <c r="B56" s="1">
        <v>10</v>
      </c>
      <c r="C56" s="1" t="s">
        <v>468</v>
      </c>
      <c r="D56" s="11" t="s">
        <v>2</v>
      </c>
      <c r="E56" s="1" t="s">
        <v>469</v>
      </c>
      <c r="F56" s="1" t="s">
        <v>134</v>
      </c>
      <c r="G56" s="11" t="e">
        <f>_xlfn.XLOOKUP(M56,'Code Catagories'!A:A,'Code Catagories'!C:C)</f>
        <v>#N/A</v>
      </c>
      <c r="H56" s="1" t="s">
        <v>134</v>
      </c>
      <c r="I56" s="1" t="s">
        <v>134</v>
      </c>
      <c r="J56" s="1" t="s">
        <v>134</v>
      </c>
      <c r="K56" s="1" t="s">
        <v>134</v>
      </c>
      <c r="L56" s="10" t="s">
        <v>135</v>
      </c>
      <c r="M56" s="11" t="str">
        <f t="shared" si="1"/>
        <v>—</v>
      </c>
      <c r="N56" s="1" t="str">
        <f t="shared" si="2"/>
        <v>006Rg00000axfGxIAI</v>
      </c>
    </row>
    <row r="57" spans="1:14" x14ac:dyDescent="0.4">
      <c r="A57" s="1">
        <v>5</v>
      </c>
      <c r="B57" s="1">
        <v>10</v>
      </c>
      <c r="C57" s="1" t="s">
        <v>470</v>
      </c>
      <c r="D57" s="11" t="s">
        <v>2</v>
      </c>
      <c r="E57" s="1" t="s">
        <v>134</v>
      </c>
      <c r="F57" s="1" t="s">
        <v>134</v>
      </c>
      <c r="G57" s="11" t="e">
        <f>_xlfn.XLOOKUP(M57,'Code Catagories'!A:A,'Code Catagories'!C:C)</f>
        <v>#N/A</v>
      </c>
      <c r="H57" s="1" t="s">
        <v>134</v>
      </c>
      <c r="I57" s="1" t="s">
        <v>134</v>
      </c>
      <c r="J57" s="1" t="s">
        <v>134</v>
      </c>
      <c r="K57" s="1" t="s">
        <v>134</v>
      </c>
      <c r="L57" s="10" t="s">
        <v>135</v>
      </c>
      <c r="M57" s="11" t="str">
        <f t="shared" si="1"/>
        <v>—</v>
      </c>
      <c r="N57" s="1" t="str">
        <f t="shared" si="2"/>
        <v>006Rg00000aXlbMIAS</v>
      </c>
    </row>
    <row r="58" spans="1:14" x14ac:dyDescent="0.4">
      <c r="A58" s="1">
        <v>5</v>
      </c>
      <c r="B58" s="1">
        <v>10</v>
      </c>
      <c r="C58" s="1" t="s">
        <v>471</v>
      </c>
      <c r="D58" s="11" t="s">
        <v>1</v>
      </c>
      <c r="E58" s="1" t="s">
        <v>472</v>
      </c>
      <c r="F58" s="1" t="s">
        <v>134</v>
      </c>
      <c r="G58" s="11" t="e">
        <f>_xlfn.XLOOKUP(M58,'Code Catagories'!A:A,'Code Catagories'!C:C)</f>
        <v>#N/A</v>
      </c>
      <c r="H58" s="1" t="s">
        <v>134</v>
      </c>
      <c r="I58" s="1" t="s">
        <v>134</v>
      </c>
      <c r="J58" s="1" t="s">
        <v>134</v>
      </c>
      <c r="K58" s="1" t="s">
        <v>134</v>
      </c>
      <c r="L58" s="10" t="s">
        <v>135</v>
      </c>
      <c r="M58" s="11" t="str">
        <f t="shared" si="1"/>
        <v>—</v>
      </c>
      <c r="N58" s="1" t="str">
        <f t="shared" si="2"/>
        <v>006Rg00000axq7VIAQ</v>
      </c>
    </row>
    <row r="59" spans="1:14" x14ac:dyDescent="0.4">
      <c r="A59" s="1">
        <v>5</v>
      </c>
      <c r="B59" s="1">
        <v>10</v>
      </c>
      <c r="C59" s="1" t="s">
        <v>473</v>
      </c>
      <c r="D59" s="11" t="s">
        <v>1</v>
      </c>
      <c r="E59" s="1" t="s">
        <v>474</v>
      </c>
      <c r="F59" s="1" t="s">
        <v>134</v>
      </c>
      <c r="G59" s="11" t="e">
        <f>_xlfn.XLOOKUP(M59,'Code Catagories'!A:A,'Code Catagories'!C:C)</f>
        <v>#N/A</v>
      </c>
      <c r="H59" s="1" t="s">
        <v>134</v>
      </c>
      <c r="I59" s="1" t="s">
        <v>134</v>
      </c>
      <c r="J59" s="1" t="s">
        <v>134</v>
      </c>
      <c r="K59" s="1" t="s">
        <v>134</v>
      </c>
      <c r="L59" s="10" t="s">
        <v>135</v>
      </c>
      <c r="M59" s="11" t="str">
        <f t="shared" si="1"/>
        <v>—</v>
      </c>
      <c r="N59" s="1" t="str">
        <f t="shared" si="2"/>
        <v>006Rg00000axr0OIAQ</v>
      </c>
    </row>
    <row r="60" spans="1:14" x14ac:dyDescent="0.4">
      <c r="A60" s="1">
        <v>5</v>
      </c>
      <c r="B60" s="1">
        <v>10</v>
      </c>
      <c r="C60" s="1" t="s">
        <v>475</v>
      </c>
      <c r="D60" s="11" t="s">
        <v>2</v>
      </c>
      <c r="E60" s="1" t="s">
        <v>476</v>
      </c>
      <c r="F60" s="1" t="s">
        <v>134</v>
      </c>
      <c r="G60" s="11" t="e">
        <f>_xlfn.XLOOKUP(M60,'Code Catagories'!A:A,'Code Catagories'!C:C)</f>
        <v>#N/A</v>
      </c>
      <c r="H60" s="1" t="s">
        <v>134</v>
      </c>
      <c r="I60" s="1" t="s">
        <v>134</v>
      </c>
      <c r="J60" s="1" t="s">
        <v>134</v>
      </c>
      <c r="K60" s="1" t="s">
        <v>134</v>
      </c>
      <c r="L60" s="10" t="s">
        <v>135</v>
      </c>
      <c r="M60" s="11" t="str">
        <f t="shared" si="1"/>
        <v>—</v>
      </c>
      <c r="N60" s="1" t="str">
        <f t="shared" si="2"/>
        <v>006Rg00000aXUXHIA4</v>
      </c>
    </row>
    <row r="61" spans="1:14" x14ac:dyDescent="0.4">
      <c r="A61" s="1">
        <v>5</v>
      </c>
      <c r="B61" s="1">
        <v>10</v>
      </c>
      <c r="C61" s="1" t="s">
        <v>477</v>
      </c>
      <c r="D61" s="11" t="s">
        <v>1</v>
      </c>
      <c r="E61" s="1" t="s">
        <v>134</v>
      </c>
      <c r="F61" s="1" t="s">
        <v>134</v>
      </c>
      <c r="G61" s="11" t="e">
        <f>_xlfn.XLOOKUP(M61,'Code Catagories'!A:A,'Code Catagories'!C:C)</f>
        <v>#N/A</v>
      </c>
      <c r="H61" s="1" t="s">
        <v>134</v>
      </c>
      <c r="I61" s="1" t="s">
        <v>134</v>
      </c>
      <c r="J61" s="1" t="s">
        <v>134</v>
      </c>
      <c r="K61" s="1" t="s">
        <v>134</v>
      </c>
      <c r="L61" s="10" t="s">
        <v>135</v>
      </c>
      <c r="M61" s="11" t="str">
        <f t="shared" si="1"/>
        <v>—</v>
      </c>
      <c r="N61" s="1" t="str">
        <f t="shared" si="2"/>
        <v>006Rg00000axW7CIAU</v>
      </c>
    </row>
    <row r="62" spans="1:14" ht="43.75" x14ac:dyDescent="0.4">
      <c r="A62" s="1">
        <v>5</v>
      </c>
      <c r="B62" s="1">
        <v>10</v>
      </c>
      <c r="C62" s="1" t="s">
        <v>478</v>
      </c>
      <c r="D62" s="11" t="s">
        <v>2</v>
      </c>
      <c r="E62" s="1" t="s">
        <v>134</v>
      </c>
      <c r="F62" s="1" t="s">
        <v>192</v>
      </c>
      <c r="G62" s="11" t="str">
        <f>_xlfn.XLOOKUP(M62,'Code Catagories'!A:A,'Code Catagories'!C:C)</f>
        <v>4D. Contract Mechanics</v>
      </c>
      <c r="H62" s="1" t="s">
        <v>138</v>
      </c>
      <c r="I62" s="1" t="s">
        <v>394</v>
      </c>
      <c r="J62" s="1" t="s">
        <v>140</v>
      </c>
      <c r="K62" s="1" t="s">
        <v>141</v>
      </c>
      <c r="L62" s="10" t="s">
        <v>479</v>
      </c>
      <c r="M62" s="11" t="str">
        <f t="shared" si="1"/>
        <v>4D</v>
      </c>
      <c r="N62" s="1" t="str">
        <f t="shared" si="2"/>
        <v>006Rg00000axWVPIA2</v>
      </c>
    </row>
    <row r="63" spans="1:14" x14ac:dyDescent="0.4">
      <c r="A63" s="1">
        <v>5</v>
      </c>
      <c r="B63" s="1">
        <v>10</v>
      </c>
      <c r="C63" s="1" t="s">
        <v>480</v>
      </c>
      <c r="D63" s="11" t="s">
        <v>2</v>
      </c>
      <c r="E63" s="1" t="s">
        <v>481</v>
      </c>
      <c r="F63" s="1" t="s">
        <v>134</v>
      </c>
      <c r="G63" s="11" t="e">
        <f>_xlfn.XLOOKUP(M63,'Code Catagories'!A:A,'Code Catagories'!C:C)</f>
        <v>#N/A</v>
      </c>
      <c r="H63" s="1" t="s">
        <v>134</v>
      </c>
      <c r="I63" s="1" t="s">
        <v>134</v>
      </c>
      <c r="J63" s="1" t="s">
        <v>134</v>
      </c>
      <c r="K63" s="1" t="s">
        <v>134</v>
      </c>
      <c r="L63" s="10" t="s">
        <v>135</v>
      </c>
      <c r="M63" s="11" t="str">
        <f t="shared" si="1"/>
        <v>—</v>
      </c>
      <c r="N63" s="1" t="str">
        <f t="shared" si="2"/>
        <v>006Rg00000ay1HRIAY</v>
      </c>
    </row>
    <row r="64" spans="1:14" ht="29.15" x14ac:dyDescent="0.4">
      <c r="A64" s="1">
        <v>5</v>
      </c>
      <c r="B64" s="1">
        <v>10</v>
      </c>
      <c r="C64" s="1" t="s">
        <v>482</v>
      </c>
      <c r="D64" s="11" t="s">
        <v>2</v>
      </c>
      <c r="E64" s="1" t="s">
        <v>483</v>
      </c>
      <c r="F64" s="1" t="s">
        <v>153</v>
      </c>
      <c r="G64" s="11" t="str">
        <f>_xlfn.XLOOKUP(M64,'Code Catagories'!A:A,'Code Catagories'!C:C)</f>
        <v>4E. Availability / Serviceability</v>
      </c>
      <c r="H64" s="1" t="s">
        <v>134</v>
      </c>
      <c r="I64" s="1" t="s">
        <v>175</v>
      </c>
      <c r="J64" s="1" t="s">
        <v>203</v>
      </c>
      <c r="K64" s="1" t="s">
        <v>141</v>
      </c>
      <c r="L64" s="10" t="s">
        <v>484</v>
      </c>
      <c r="M64" s="11" t="str">
        <f t="shared" si="1"/>
        <v>4E</v>
      </c>
      <c r="N64" s="1" t="str">
        <f t="shared" si="2"/>
        <v>006Rg00000ay9GbIAI</v>
      </c>
    </row>
    <row r="65" spans="1:14" x14ac:dyDescent="0.4">
      <c r="A65" s="1">
        <v>5</v>
      </c>
      <c r="B65" s="1">
        <v>10</v>
      </c>
      <c r="C65" s="1" t="s">
        <v>485</v>
      </c>
      <c r="D65" s="11" t="s">
        <v>2</v>
      </c>
      <c r="E65" s="1" t="s">
        <v>445</v>
      </c>
      <c r="F65" s="1" t="s">
        <v>134</v>
      </c>
      <c r="G65" s="11" t="e">
        <f>_xlfn.XLOOKUP(M65,'Code Catagories'!A:A,'Code Catagories'!C:C)</f>
        <v>#N/A</v>
      </c>
      <c r="H65" s="1" t="s">
        <v>134</v>
      </c>
      <c r="I65" s="1" t="s">
        <v>134</v>
      </c>
      <c r="J65" s="1" t="s">
        <v>134</v>
      </c>
      <c r="K65" s="1" t="s">
        <v>134</v>
      </c>
      <c r="L65" s="10" t="s">
        <v>135</v>
      </c>
      <c r="M65" s="11" t="str">
        <f t="shared" si="1"/>
        <v>—</v>
      </c>
      <c r="N65" s="1" t="str">
        <f t="shared" si="2"/>
        <v>006Rg00000ay926IAA</v>
      </c>
    </row>
    <row r="66" spans="1:14" x14ac:dyDescent="0.4">
      <c r="A66" s="1">
        <v>5</v>
      </c>
      <c r="B66" s="1">
        <v>10</v>
      </c>
      <c r="C66" s="1" t="s">
        <v>486</v>
      </c>
      <c r="D66" s="11" t="s">
        <v>1</v>
      </c>
      <c r="E66" s="1" t="s">
        <v>134</v>
      </c>
      <c r="F66" s="1" t="s">
        <v>134</v>
      </c>
      <c r="G66" s="11" t="e">
        <f>_xlfn.XLOOKUP(M66,'Code Catagories'!A:A,'Code Catagories'!C:C)</f>
        <v>#N/A</v>
      </c>
      <c r="H66" s="1" t="s">
        <v>134</v>
      </c>
      <c r="I66" s="1" t="s">
        <v>134</v>
      </c>
      <c r="J66" s="1" t="s">
        <v>134</v>
      </c>
      <c r="K66" s="1" t="s">
        <v>134</v>
      </c>
      <c r="L66" s="10" t="s">
        <v>135</v>
      </c>
      <c r="M66" s="11" t="str">
        <f t="shared" si="1"/>
        <v>—</v>
      </c>
      <c r="N66" s="1" t="str">
        <f t="shared" ref="N66:N97" si="3">TRIM(C66)</f>
        <v>006Rg00000aYALBIA4</v>
      </c>
    </row>
    <row r="67" spans="1:14" x14ac:dyDescent="0.4">
      <c r="A67" s="1">
        <v>5</v>
      </c>
      <c r="B67" s="1">
        <v>11</v>
      </c>
      <c r="C67" s="1" t="s">
        <v>487</v>
      </c>
      <c r="D67" s="11" t="s">
        <v>2</v>
      </c>
      <c r="E67" s="1" t="s">
        <v>488</v>
      </c>
      <c r="F67" s="1" t="s">
        <v>134</v>
      </c>
      <c r="G67" s="11" t="e">
        <f>_xlfn.XLOOKUP(M67,'Code Catagories'!A:A,'Code Catagories'!C:C)</f>
        <v>#N/A</v>
      </c>
      <c r="H67" s="1" t="s">
        <v>134</v>
      </c>
      <c r="I67" s="1" t="s">
        <v>134</v>
      </c>
      <c r="J67" s="1" t="s">
        <v>134</v>
      </c>
      <c r="K67" s="1" t="s">
        <v>134</v>
      </c>
      <c r="L67" s="10" t="s">
        <v>135</v>
      </c>
      <c r="M67" s="11" t="str">
        <f t="shared" si="1"/>
        <v>—</v>
      </c>
      <c r="N67" s="1" t="str">
        <f t="shared" si="3"/>
        <v>006Rg00000ayLrFIAU</v>
      </c>
    </row>
    <row r="68" spans="1:14" ht="43.75" x14ac:dyDescent="0.4">
      <c r="A68" s="1">
        <v>5</v>
      </c>
      <c r="B68" s="1">
        <v>11</v>
      </c>
      <c r="C68" s="1" t="s">
        <v>489</v>
      </c>
      <c r="D68" s="11" t="s">
        <v>2</v>
      </c>
      <c r="E68" s="1" t="s">
        <v>490</v>
      </c>
      <c r="F68" s="1" t="s">
        <v>145</v>
      </c>
      <c r="G68" s="11" t="str">
        <f>_xlfn.XLOOKUP(M68,'Code Catagories'!A:A,'Code Catagories'!C:C)</f>
        <v>4A. Rate Uncompetitive</v>
      </c>
      <c r="H68" s="1" t="s">
        <v>134</v>
      </c>
      <c r="I68" s="1" t="s">
        <v>366</v>
      </c>
      <c r="J68" s="1" t="s">
        <v>224</v>
      </c>
      <c r="K68" s="1" t="s">
        <v>141</v>
      </c>
      <c r="L68" s="10" t="s">
        <v>491</v>
      </c>
      <c r="M68" s="11" t="str">
        <f t="shared" ref="M68:M115" si="4">TRIM(F68)</f>
        <v>4A</v>
      </c>
      <c r="N68" s="1" t="str">
        <f t="shared" si="3"/>
        <v>006Rg00000ayrRJIAY</v>
      </c>
    </row>
    <row r="69" spans="1:14" x14ac:dyDescent="0.4">
      <c r="A69" s="1">
        <v>5</v>
      </c>
      <c r="B69" s="1">
        <v>11</v>
      </c>
      <c r="C69" s="1" t="s">
        <v>492</v>
      </c>
      <c r="D69" s="11" t="s">
        <v>2</v>
      </c>
      <c r="E69" s="1" t="s">
        <v>493</v>
      </c>
      <c r="F69" s="1" t="s">
        <v>134</v>
      </c>
      <c r="G69" s="11" t="e">
        <f>_xlfn.XLOOKUP(M69,'Code Catagories'!A:A,'Code Catagories'!C:C)</f>
        <v>#N/A</v>
      </c>
      <c r="H69" s="1" t="s">
        <v>134</v>
      </c>
      <c r="I69" s="1" t="s">
        <v>134</v>
      </c>
      <c r="J69" s="1" t="s">
        <v>134</v>
      </c>
      <c r="K69" s="1" t="s">
        <v>134</v>
      </c>
      <c r="L69" s="10" t="s">
        <v>135</v>
      </c>
      <c r="M69" s="11" t="str">
        <f t="shared" si="4"/>
        <v>—</v>
      </c>
      <c r="N69" s="1" t="str">
        <f t="shared" si="3"/>
        <v>006Rg00000aYUAEIA4</v>
      </c>
    </row>
    <row r="70" spans="1:14" x14ac:dyDescent="0.4">
      <c r="A70" s="1">
        <v>5</v>
      </c>
      <c r="B70" s="1">
        <v>11</v>
      </c>
      <c r="C70" s="1" t="s">
        <v>494</v>
      </c>
      <c r="D70" s="11" t="s">
        <v>2</v>
      </c>
      <c r="E70" s="1" t="s">
        <v>495</v>
      </c>
      <c r="F70" s="1" t="s">
        <v>134</v>
      </c>
      <c r="G70" s="11" t="e">
        <f>_xlfn.XLOOKUP(M70,'Code Catagories'!A:A,'Code Catagories'!C:C)</f>
        <v>#N/A</v>
      </c>
      <c r="H70" s="1" t="s">
        <v>134</v>
      </c>
      <c r="I70" s="1" t="s">
        <v>134</v>
      </c>
      <c r="J70" s="1" t="s">
        <v>134</v>
      </c>
      <c r="K70" s="1" t="s">
        <v>134</v>
      </c>
      <c r="L70" s="10" t="s">
        <v>135</v>
      </c>
      <c r="M70" s="11" t="str">
        <f t="shared" si="4"/>
        <v>—</v>
      </c>
      <c r="N70" s="1" t="str">
        <f t="shared" si="3"/>
        <v>006Rg00000ayuH7IAI</v>
      </c>
    </row>
    <row r="71" spans="1:14" x14ac:dyDescent="0.4">
      <c r="A71" s="1">
        <v>5</v>
      </c>
      <c r="B71" s="1">
        <v>11</v>
      </c>
      <c r="C71" s="1" t="s">
        <v>496</v>
      </c>
      <c r="D71" s="11" t="s">
        <v>1</v>
      </c>
      <c r="E71" s="1" t="s">
        <v>497</v>
      </c>
      <c r="F71" s="1" t="s">
        <v>134</v>
      </c>
      <c r="G71" s="11" t="e">
        <f>_xlfn.XLOOKUP(M71,'Code Catagories'!A:A,'Code Catagories'!C:C)</f>
        <v>#N/A</v>
      </c>
      <c r="H71" s="1" t="s">
        <v>134</v>
      </c>
      <c r="I71" s="1" t="s">
        <v>134</v>
      </c>
      <c r="J71" s="1" t="s">
        <v>134</v>
      </c>
      <c r="K71" s="1" t="s">
        <v>134</v>
      </c>
      <c r="L71" s="10" t="s">
        <v>135</v>
      </c>
      <c r="M71" s="11" t="str">
        <f t="shared" si="4"/>
        <v>—</v>
      </c>
      <c r="N71" s="1" t="str">
        <f t="shared" si="3"/>
        <v>006Rg00000aYUJtIAO</v>
      </c>
    </row>
    <row r="72" spans="1:14" x14ac:dyDescent="0.4">
      <c r="A72" s="1">
        <v>5</v>
      </c>
      <c r="B72" s="1">
        <v>11</v>
      </c>
      <c r="C72" s="1" t="s">
        <v>498</v>
      </c>
      <c r="D72" s="11" t="s">
        <v>2</v>
      </c>
      <c r="E72" s="1" t="s">
        <v>397</v>
      </c>
      <c r="F72" s="1" t="s">
        <v>134</v>
      </c>
      <c r="G72" s="11" t="e">
        <f>_xlfn.XLOOKUP(M72,'Code Catagories'!A:A,'Code Catagories'!C:C)</f>
        <v>#N/A</v>
      </c>
      <c r="H72" s="1" t="s">
        <v>134</v>
      </c>
      <c r="I72" s="1" t="s">
        <v>134</v>
      </c>
      <c r="J72" s="1" t="s">
        <v>134</v>
      </c>
      <c r="K72" s="1" t="s">
        <v>134</v>
      </c>
      <c r="L72" s="10" t="s">
        <v>135</v>
      </c>
      <c r="M72" s="11" t="str">
        <f t="shared" si="4"/>
        <v>—</v>
      </c>
      <c r="N72" s="1" t="str">
        <f t="shared" si="3"/>
        <v>006Rg00000aYVr4IAG</v>
      </c>
    </row>
    <row r="73" spans="1:14" x14ac:dyDescent="0.4">
      <c r="A73" s="1">
        <v>5</v>
      </c>
      <c r="B73" s="1">
        <v>11</v>
      </c>
      <c r="C73" s="1" t="s">
        <v>499</v>
      </c>
      <c r="D73" s="11" t="s">
        <v>1</v>
      </c>
      <c r="E73" s="1" t="s">
        <v>500</v>
      </c>
      <c r="F73" s="1" t="s">
        <v>134</v>
      </c>
      <c r="G73" s="11" t="e">
        <f>_xlfn.XLOOKUP(M73,'Code Catagories'!A:A,'Code Catagories'!C:C)</f>
        <v>#N/A</v>
      </c>
      <c r="H73" s="1" t="s">
        <v>134</v>
      </c>
      <c r="I73" s="1" t="s">
        <v>134</v>
      </c>
      <c r="J73" s="1" t="s">
        <v>134</v>
      </c>
      <c r="K73" s="1" t="s">
        <v>134</v>
      </c>
      <c r="L73" s="10" t="s">
        <v>135</v>
      </c>
      <c r="M73" s="11" t="str">
        <f t="shared" si="4"/>
        <v>—</v>
      </c>
      <c r="N73" s="1" t="str">
        <f t="shared" si="3"/>
        <v>006Rg00000ayxbaIAA</v>
      </c>
    </row>
    <row r="74" spans="1:14" x14ac:dyDescent="0.4">
      <c r="A74" s="1">
        <v>5</v>
      </c>
      <c r="B74" s="1">
        <v>11</v>
      </c>
      <c r="C74" s="1" t="s">
        <v>501</v>
      </c>
      <c r="D74" s="11" t="s">
        <v>1</v>
      </c>
      <c r="E74" s="1" t="s">
        <v>134</v>
      </c>
      <c r="F74" s="1" t="s">
        <v>134</v>
      </c>
      <c r="G74" s="11" t="e">
        <f>_xlfn.XLOOKUP(M74,'Code Catagories'!A:A,'Code Catagories'!C:C)</f>
        <v>#N/A</v>
      </c>
      <c r="H74" s="1" t="s">
        <v>134</v>
      </c>
      <c r="I74" s="1" t="s">
        <v>134</v>
      </c>
      <c r="J74" s="1" t="s">
        <v>134</v>
      </c>
      <c r="K74" s="1" t="s">
        <v>134</v>
      </c>
      <c r="L74" s="10" t="s">
        <v>135</v>
      </c>
      <c r="M74" s="11" t="str">
        <f t="shared" si="4"/>
        <v>—</v>
      </c>
      <c r="N74" s="1" t="str">
        <f t="shared" si="3"/>
        <v>006Rg00000ayysbIAA</v>
      </c>
    </row>
    <row r="75" spans="1:14" x14ac:dyDescent="0.4">
      <c r="A75" s="1">
        <v>5</v>
      </c>
      <c r="B75" s="1">
        <v>11</v>
      </c>
      <c r="C75" s="1" t="s">
        <v>502</v>
      </c>
      <c r="D75" s="11" t="s">
        <v>1</v>
      </c>
      <c r="E75" s="1" t="s">
        <v>134</v>
      </c>
      <c r="F75" s="1" t="s">
        <v>134</v>
      </c>
      <c r="G75" s="11" t="e">
        <f>_xlfn.XLOOKUP(M75,'Code Catagories'!A:A,'Code Catagories'!C:C)</f>
        <v>#N/A</v>
      </c>
      <c r="H75" s="1" t="s">
        <v>134</v>
      </c>
      <c r="I75" s="1" t="s">
        <v>134</v>
      </c>
      <c r="J75" s="1" t="s">
        <v>134</v>
      </c>
      <c r="K75" s="1" t="s">
        <v>134</v>
      </c>
      <c r="L75" s="10" t="s">
        <v>135</v>
      </c>
      <c r="M75" s="11" t="str">
        <f t="shared" si="4"/>
        <v>—</v>
      </c>
      <c r="N75" s="1" t="str">
        <f t="shared" si="3"/>
        <v>006Rg00000azC2kIAE</v>
      </c>
    </row>
    <row r="76" spans="1:14" ht="29.15" x14ac:dyDescent="0.4">
      <c r="A76" s="1">
        <v>5</v>
      </c>
      <c r="B76" s="1">
        <v>11</v>
      </c>
      <c r="C76" s="1" t="s">
        <v>503</v>
      </c>
      <c r="D76" s="11" t="s">
        <v>1</v>
      </c>
      <c r="E76" s="1" t="s">
        <v>504</v>
      </c>
      <c r="F76" s="1" t="s">
        <v>153</v>
      </c>
      <c r="G76" s="11" t="str">
        <f>_xlfn.XLOOKUP(M76,'Code Catagories'!A:A,'Code Catagories'!C:C)</f>
        <v>4E. Availability / Serviceability</v>
      </c>
      <c r="H76" s="1" t="s">
        <v>138</v>
      </c>
      <c r="I76" s="1" t="s">
        <v>175</v>
      </c>
      <c r="J76" s="1" t="s">
        <v>147</v>
      </c>
      <c r="K76" s="1" t="s">
        <v>148</v>
      </c>
      <c r="L76" s="10" t="s">
        <v>505</v>
      </c>
      <c r="M76" s="11" t="str">
        <f t="shared" si="4"/>
        <v>4E</v>
      </c>
      <c r="N76" s="1" t="str">
        <f t="shared" si="3"/>
        <v>006Rg00000azIhdIAE</v>
      </c>
    </row>
    <row r="77" spans="1:14" ht="29.15" x14ac:dyDescent="0.4">
      <c r="A77" s="1">
        <v>5</v>
      </c>
      <c r="B77" s="1">
        <v>11</v>
      </c>
      <c r="C77" s="1" t="s">
        <v>503</v>
      </c>
      <c r="D77" s="11" t="s">
        <v>1</v>
      </c>
      <c r="E77" s="1" t="s">
        <v>504</v>
      </c>
      <c r="F77" s="1" t="s">
        <v>153</v>
      </c>
      <c r="G77" s="11" t="str">
        <f>_xlfn.XLOOKUP(M77,'Code Catagories'!A:A,'Code Catagories'!C:C)</f>
        <v>4E. Availability / Serviceability</v>
      </c>
      <c r="H77" s="1" t="s">
        <v>134</v>
      </c>
      <c r="I77" s="1" t="s">
        <v>154</v>
      </c>
      <c r="J77" s="1" t="s">
        <v>203</v>
      </c>
      <c r="K77" s="1" t="s">
        <v>141</v>
      </c>
      <c r="L77" s="10" t="s">
        <v>506</v>
      </c>
      <c r="M77" s="11" t="str">
        <f t="shared" si="4"/>
        <v>4E</v>
      </c>
      <c r="N77" s="1" t="str">
        <f t="shared" si="3"/>
        <v>006Rg00000azIhdIAE</v>
      </c>
    </row>
    <row r="78" spans="1:14" x14ac:dyDescent="0.4">
      <c r="A78" s="1">
        <v>5</v>
      </c>
      <c r="B78" s="1">
        <v>11</v>
      </c>
      <c r="C78" s="1" t="s">
        <v>507</v>
      </c>
      <c r="D78" s="11" t="s">
        <v>1</v>
      </c>
      <c r="E78" s="1" t="s">
        <v>508</v>
      </c>
      <c r="F78" s="1" t="s">
        <v>134</v>
      </c>
      <c r="G78" s="11" t="e">
        <f>_xlfn.XLOOKUP(M78,'Code Catagories'!A:A,'Code Catagories'!C:C)</f>
        <v>#N/A</v>
      </c>
      <c r="H78" s="1" t="s">
        <v>134</v>
      </c>
      <c r="I78" s="1" t="s">
        <v>134</v>
      </c>
      <c r="J78" s="1" t="s">
        <v>134</v>
      </c>
      <c r="K78" s="1" t="s">
        <v>134</v>
      </c>
      <c r="L78" s="10" t="s">
        <v>135</v>
      </c>
      <c r="M78" s="11" t="str">
        <f t="shared" si="4"/>
        <v>—</v>
      </c>
      <c r="N78" s="1" t="str">
        <f t="shared" si="3"/>
        <v>006Rg00000b0pjaIAA</v>
      </c>
    </row>
    <row r="79" spans="1:14" ht="29.15" x14ac:dyDescent="0.4">
      <c r="A79" s="1">
        <v>5</v>
      </c>
      <c r="B79" s="1">
        <v>11</v>
      </c>
      <c r="C79" s="1" t="s">
        <v>509</v>
      </c>
      <c r="D79" s="11" t="s">
        <v>1</v>
      </c>
      <c r="E79" s="1" t="s">
        <v>510</v>
      </c>
      <c r="F79" s="1" t="s">
        <v>145</v>
      </c>
      <c r="G79" s="11" t="str">
        <f>_xlfn.XLOOKUP(M79,'Code Catagories'!A:A,'Code Catagories'!C:C)</f>
        <v>4A. Rate Uncompetitive</v>
      </c>
      <c r="H79" s="1" t="s">
        <v>138</v>
      </c>
      <c r="I79" s="1" t="s">
        <v>241</v>
      </c>
      <c r="J79" s="1" t="s">
        <v>147</v>
      </c>
      <c r="K79" s="1" t="s">
        <v>148</v>
      </c>
      <c r="L79" s="10" t="s">
        <v>511</v>
      </c>
      <c r="M79" s="11" t="str">
        <f t="shared" si="4"/>
        <v>4A</v>
      </c>
      <c r="N79" s="1" t="str">
        <f t="shared" si="3"/>
        <v>006Rg00000b0xPPIAY</v>
      </c>
    </row>
    <row r="80" spans="1:14" ht="29.15" x14ac:dyDescent="0.4">
      <c r="A80" s="1">
        <v>5</v>
      </c>
      <c r="B80" s="1">
        <v>11</v>
      </c>
      <c r="C80" s="1" t="s">
        <v>512</v>
      </c>
      <c r="D80" s="11" t="s">
        <v>2</v>
      </c>
      <c r="E80" s="1" t="s">
        <v>513</v>
      </c>
      <c r="F80" s="1" t="s">
        <v>137</v>
      </c>
      <c r="G80" s="11" t="str">
        <f>_xlfn.XLOOKUP(M80,'Code Catagories'!A:A,'Code Catagories'!C:C)</f>
        <v>4B. Ancillary Fees</v>
      </c>
      <c r="H80" s="1" t="s">
        <v>138</v>
      </c>
      <c r="I80" s="1" t="s">
        <v>514</v>
      </c>
      <c r="J80" s="1" t="s">
        <v>140</v>
      </c>
      <c r="K80" s="1" t="s">
        <v>141</v>
      </c>
      <c r="L80" s="10" t="s">
        <v>515</v>
      </c>
      <c r="M80" s="11" t="str">
        <f t="shared" si="4"/>
        <v>4B</v>
      </c>
      <c r="N80" s="1" t="str">
        <f t="shared" si="3"/>
        <v>006Rg00000b0yQJIAY</v>
      </c>
    </row>
    <row r="81" spans="1:14" x14ac:dyDescent="0.4">
      <c r="A81" s="1">
        <v>5</v>
      </c>
      <c r="B81" s="1">
        <v>12</v>
      </c>
      <c r="C81" s="1" t="s">
        <v>516</v>
      </c>
      <c r="D81" s="11" t="s">
        <v>1</v>
      </c>
      <c r="E81" s="1" t="s">
        <v>391</v>
      </c>
      <c r="F81" s="1" t="s">
        <v>134</v>
      </c>
      <c r="G81" s="11" t="e">
        <f>_xlfn.XLOOKUP(M81,'Code Catagories'!A:A,'Code Catagories'!C:C)</f>
        <v>#N/A</v>
      </c>
      <c r="H81" s="1" t="s">
        <v>134</v>
      </c>
      <c r="I81" s="1" t="s">
        <v>134</v>
      </c>
      <c r="J81" s="1" t="s">
        <v>134</v>
      </c>
      <c r="K81" s="1" t="s">
        <v>134</v>
      </c>
      <c r="L81" s="10" t="s">
        <v>135</v>
      </c>
      <c r="M81" s="11" t="str">
        <f t="shared" si="4"/>
        <v>—</v>
      </c>
      <c r="N81" s="1" t="str">
        <f t="shared" si="3"/>
        <v>006Rg00000b1D2mIAE</v>
      </c>
    </row>
    <row r="82" spans="1:14" x14ac:dyDescent="0.4">
      <c r="A82" s="1">
        <v>5</v>
      </c>
      <c r="B82" s="1">
        <v>12</v>
      </c>
      <c r="C82" s="1" t="s">
        <v>517</v>
      </c>
      <c r="D82" s="11" t="s">
        <v>1</v>
      </c>
      <c r="E82" s="1" t="s">
        <v>518</v>
      </c>
      <c r="F82" s="1" t="s">
        <v>134</v>
      </c>
      <c r="G82" s="11" t="e">
        <f>_xlfn.XLOOKUP(M82,'Code Catagories'!A:A,'Code Catagories'!C:C)</f>
        <v>#N/A</v>
      </c>
      <c r="H82" s="1" t="s">
        <v>134</v>
      </c>
      <c r="I82" s="1" t="s">
        <v>134</v>
      </c>
      <c r="J82" s="1" t="s">
        <v>134</v>
      </c>
      <c r="K82" s="1" t="s">
        <v>134</v>
      </c>
      <c r="L82" s="10" t="s">
        <v>135</v>
      </c>
      <c r="M82" s="11" t="str">
        <f t="shared" si="4"/>
        <v>—</v>
      </c>
      <c r="N82" s="1" t="str">
        <f t="shared" si="3"/>
        <v>006Rg00000b1EtFIAU</v>
      </c>
    </row>
    <row r="83" spans="1:14" x14ac:dyDescent="0.4">
      <c r="A83" s="1">
        <v>5</v>
      </c>
      <c r="B83" s="1">
        <v>12</v>
      </c>
      <c r="C83" s="1" t="s">
        <v>519</v>
      </c>
      <c r="D83" s="11" t="s">
        <v>1</v>
      </c>
      <c r="E83" s="1" t="s">
        <v>134</v>
      </c>
      <c r="F83" s="1" t="s">
        <v>134</v>
      </c>
      <c r="G83" s="11" t="e">
        <f>_xlfn.XLOOKUP(M83,'Code Catagories'!A:A,'Code Catagories'!C:C)</f>
        <v>#N/A</v>
      </c>
      <c r="H83" s="1" t="s">
        <v>134</v>
      </c>
      <c r="I83" s="1" t="s">
        <v>134</v>
      </c>
      <c r="J83" s="1" t="s">
        <v>134</v>
      </c>
      <c r="K83" s="1" t="s">
        <v>134</v>
      </c>
      <c r="L83" s="10" t="s">
        <v>135</v>
      </c>
      <c r="M83" s="11" t="str">
        <f t="shared" si="4"/>
        <v>—</v>
      </c>
      <c r="N83" s="1" t="str">
        <f t="shared" si="3"/>
        <v>006Rg00000b1KYsIAM</v>
      </c>
    </row>
    <row r="84" spans="1:14" x14ac:dyDescent="0.4">
      <c r="A84" s="1">
        <v>5</v>
      </c>
      <c r="B84" s="1">
        <v>12</v>
      </c>
      <c r="C84" s="1" t="s">
        <v>520</v>
      </c>
      <c r="D84" s="11" t="s">
        <v>1</v>
      </c>
      <c r="E84" s="1" t="s">
        <v>134</v>
      </c>
      <c r="F84" s="1" t="s">
        <v>134</v>
      </c>
      <c r="G84" s="11" t="e">
        <f>_xlfn.XLOOKUP(M84,'Code Catagories'!A:A,'Code Catagories'!C:C)</f>
        <v>#N/A</v>
      </c>
      <c r="H84" s="1" t="s">
        <v>134</v>
      </c>
      <c r="I84" s="1" t="s">
        <v>134</v>
      </c>
      <c r="J84" s="1" t="s">
        <v>134</v>
      </c>
      <c r="K84" s="1" t="s">
        <v>134</v>
      </c>
      <c r="L84" s="10" t="s">
        <v>135</v>
      </c>
      <c r="M84" s="11" t="str">
        <f t="shared" si="4"/>
        <v>—</v>
      </c>
      <c r="N84" s="1" t="str">
        <f t="shared" si="3"/>
        <v>006Rg00000b1lcIIAQ</v>
      </c>
    </row>
    <row r="85" spans="1:14" x14ac:dyDescent="0.4">
      <c r="A85" s="1">
        <v>5</v>
      </c>
      <c r="B85" s="1">
        <v>12</v>
      </c>
      <c r="C85" s="1" t="s">
        <v>521</v>
      </c>
      <c r="D85" s="11" t="s">
        <v>2</v>
      </c>
      <c r="E85" s="1" t="s">
        <v>522</v>
      </c>
      <c r="F85" s="1" t="s">
        <v>134</v>
      </c>
      <c r="G85" s="11" t="e">
        <f>_xlfn.XLOOKUP(M85,'Code Catagories'!A:A,'Code Catagories'!C:C)</f>
        <v>#N/A</v>
      </c>
      <c r="H85" s="1" t="s">
        <v>134</v>
      </c>
      <c r="I85" s="1" t="s">
        <v>134</v>
      </c>
      <c r="J85" s="1" t="s">
        <v>134</v>
      </c>
      <c r="K85" s="1" t="s">
        <v>134</v>
      </c>
      <c r="L85" s="10" t="s">
        <v>135</v>
      </c>
      <c r="M85" s="11" t="str">
        <f t="shared" si="4"/>
        <v>—</v>
      </c>
      <c r="N85" s="1" t="str">
        <f t="shared" si="3"/>
        <v>006Rg00000b1VcMIAU</v>
      </c>
    </row>
    <row r="86" spans="1:14" x14ac:dyDescent="0.4">
      <c r="A86" s="1">
        <v>5</v>
      </c>
      <c r="B86" s="1">
        <v>12</v>
      </c>
      <c r="C86" s="1" t="s">
        <v>523</v>
      </c>
      <c r="D86" s="11" t="s">
        <v>2</v>
      </c>
      <c r="E86" s="1" t="s">
        <v>524</v>
      </c>
      <c r="F86" s="1" t="s">
        <v>134</v>
      </c>
      <c r="G86" s="11" t="e">
        <f>_xlfn.XLOOKUP(M86,'Code Catagories'!A:A,'Code Catagories'!C:C)</f>
        <v>#N/A</v>
      </c>
      <c r="H86" s="1" t="s">
        <v>134</v>
      </c>
      <c r="I86" s="1" t="s">
        <v>134</v>
      </c>
      <c r="J86" s="1" t="s">
        <v>134</v>
      </c>
      <c r="K86" s="1" t="s">
        <v>134</v>
      </c>
      <c r="L86" s="10" t="s">
        <v>135</v>
      </c>
      <c r="M86" s="11" t="str">
        <f t="shared" si="4"/>
        <v>—</v>
      </c>
      <c r="N86" s="1" t="str">
        <f t="shared" si="3"/>
        <v>006Rg00000b3loJIAQ</v>
      </c>
    </row>
    <row r="87" spans="1:14" x14ac:dyDescent="0.4">
      <c r="A87" s="1">
        <v>5</v>
      </c>
      <c r="B87" s="1">
        <v>12</v>
      </c>
      <c r="C87" s="1" t="s">
        <v>525</v>
      </c>
      <c r="D87" s="11" t="s">
        <v>1</v>
      </c>
      <c r="E87" s="1" t="s">
        <v>426</v>
      </c>
      <c r="F87" s="1" t="s">
        <v>134</v>
      </c>
      <c r="G87" s="11" t="e">
        <f>_xlfn.XLOOKUP(M87,'Code Catagories'!A:A,'Code Catagories'!C:C)</f>
        <v>#N/A</v>
      </c>
      <c r="H87" s="1" t="s">
        <v>134</v>
      </c>
      <c r="I87" s="1" t="s">
        <v>134</v>
      </c>
      <c r="J87" s="1" t="s">
        <v>134</v>
      </c>
      <c r="K87" s="1" t="s">
        <v>134</v>
      </c>
      <c r="L87" s="10" t="s">
        <v>135</v>
      </c>
      <c r="M87" s="11" t="str">
        <f t="shared" si="4"/>
        <v>—</v>
      </c>
      <c r="N87" s="1" t="str">
        <f t="shared" si="3"/>
        <v>006Rg00000b3oRCIAY</v>
      </c>
    </row>
    <row r="88" spans="1:14" x14ac:dyDescent="0.4">
      <c r="A88" s="1">
        <v>5</v>
      </c>
      <c r="B88" s="1">
        <v>12</v>
      </c>
      <c r="C88" s="1" t="s">
        <v>526</v>
      </c>
      <c r="D88" s="11" t="s">
        <v>1</v>
      </c>
      <c r="E88" s="1" t="s">
        <v>134</v>
      </c>
      <c r="F88" s="1" t="s">
        <v>134</v>
      </c>
      <c r="G88" s="11" t="e">
        <f>_xlfn.XLOOKUP(M88,'Code Catagories'!A:A,'Code Catagories'!C:C)</f>
        <v>#N/A</v>
      </c>
      <c r="H88" s="1" t="s">
        <v>134</v>
      </c>
      <c r="I88" s="1" t="s">
        <v>134</v>
      </c>
      <c r="J88" s="1" t="s">
        <v>134</v>
      </c>
      <c r="K88" s="1" t="s">
        <v>134</v>
      </c>
      <c r="L88" s="10" t="s">
        <v>135</v>
      </c>
      <c r="M88" s="11" t="str">
        <f t="shared" si="4"/>
        <v>—</v>
      </c>
      <c r="N88" s="1" t="str">
        <f t="shared" si="3"/>
        <v>006Rg00000b3qWGIAY</v>
      </c>
    </row>
    <row r="89" spans="1:14" x14ac:dyDescent="0.4">
      <c r="A89" s="1">
        <v>5</v>
      </c>
      <c r="B89" s="1">
        <v>12</v>
      </c>
      <c r="C89" s="1" t="s">
        <v>527</v>
      </c>
      <c r="D89" s="11" t="s">
        <v>2</v>
      </c>
      <c r="E89" s="1" t="s">
        <v>528</v>
      </c>
      <c r="F89" s="1" t="s">
        <v>134</v>
      </c>
      <c r="G89" s="11" t="e">
        <f>_xlfn.XLOOKUP(M89,'Code Catagories'!A:A,'Code Catagories'!C:C)</f>
        <v>#N/A</v>
      </c>
      <c r="H89" s="1" t="s">
        <v>134</v>
      </c>
      <c r="I89" s="1" t="s">
        <v>134</v>
      </c>
      <c r="J89" s="1" t="s">
        <v>134</v>
      </c>
      <c r="K89" s="1" t="s">
        <v>134</v>
      </c>
      <c r="L89" s="10" t="s">
        <v>135</v>
      </c>
      <c r="M89" s="11" t="str">
        <f t="shared" si="4"/>
        <v>—</v>
      </c>
      <c r="N89" s="1" t="str">
        <f t="shared" si="3"/>
        <v>006Rg00000b3RmMIAU</v>
      </c>
    </row>
    <row r="90" spans="1:14" x14ac:dyDescent="0.4">
      <c r="A90" s="1">
        <v>5</v>
      </c>
      <c r="B90" s="1">
        <v>12</v>
      </c>
      <c r="C90" s="1" t="s">
        <v>529</v>
      </c>
      <c r="D90" s="11" t="s">
        <v>2</v>
      </c>
      <c r="E90" s="1" t="s">
        <v>426</v>
      </c>
      <c r="F90" s="1" t="s">
        <v>134</v>
      </c>
      <c r="G90" s="11" t="e">
        <f>_xlfn.XLOOKUP(M90,'Code Catagories'!A:A,'Code Catagories'!C:C)</f>
        <v>#N/A</v>
      </c>
      <c r="H90" s="1" t="s">
        <v>134</v>
      </c>
      <c r="I90" s="1" t="s">
        <v>134</v>
      </c>
      <c r="J90" s="1" t="s">
        <v>134</v>
      </c>
      <c r="K90" s="1" t="s">
        <v>134</v>
      </c>
      <c r="L90" s="10" t="s">
        <v>135</v>
      </c>
      <c r="M90" s="11" t="str">
        <f t="shared" si="4"/>
        <v>—</v>
      </c>
      <c r="N90" s="1" t="str">
        <f t="shared" si="3"/>
        <v>006Rg00000b3VgJIAU</v>
      </c>
    </row>
    <row r="91" spans="1:14" x14ac:dyDescent="0.4">
      <c r="A91" s="1">
        <v>5</v>
      </c>
      <c r="B91" s="1">
        <v>12</v>
      </c>
      <c r="C91" s="1" t="s">
        <v>530</v>
      </c>
      <c r="D91" s="11" t="s">
        <v>2</v>
      </c>
      <c r="E91" s="1" t="s">
        <v>134</v>
      </c>
      <c r="F91" s="1" t="s">
        <v>134</v>
      </c>
      <c r="G91" s="11" t="e">
        <f>_xlfn.XLOOKUP(M91,'Code Catagories'!A:A,'Code Catagories'!C:C)</f>
        <v>#N/A</v>
      </c>
      <c r="H91" s="1" t="s">
        <v>134</v>
      </c>
      <c r="I91" s="1" t="s">
        <v>134</v>
      </c>
      <c r="J91" s="1" t="s">
        <v>134</v>
      </c>
      <c r="K91" s="1" t="s">
        <v>134</v>
      </c>
      <c r="L91" s="10" t="s">
        <v>135</v>
      </c>
      <c r="M91" s="11" t="str">
        <f t="shared" si="4"/>
        <v>—</v>
      </c>
      <c r="N91" s="1" t="str">
        <f t="shared" si="3"/>
        <v>006Rg00000b3w8bIAA</v>
      </c>
    </row>
    <row r="92" spans="1:14" x14ac:dyDescent="0.4">
      <c r="A92" s="1">
        <v>5</v>
      </c>
      <c r="B92" s="1">
        <v>12</v>
      </c>
      <c r="C92" s="1" t="s">
        <v>531</v>
      </c>
      <c r="D92" s="11" t="s">
        <v>1</v>
      </c>
      <c r="E92" s="1" t="s">
        <v>532</v>
      </c>
      <c r="F92" s="1" t="s">
        <v>134</v>
      </c>
      <c r="G92" s="11" t="e">
        <f>_xlfn.XLOOKUP(M92,'Code Catagories'!A:A,'Code Catagories'!C:C)</f>
        <v>#N/A</v>
      </c>
      <c r="H92" s="1" t="s">
        <v>134</v>
      </c>
      <c r="I92" s="1" t="s">
        <v>134</v>
      </c>
      <c r="J92" s="1" t="s">
        <v>134</v>
      </c>
      <c r="K92" s="1" t="s">
        <v>134</v>
      </c>
      <c r="L92" s="10" t="s">
        <v>135</v>
      </c>
      <c r="M92" s="11" t="str">
        <f t="shared" si="4"/>
        <v>—</v>
      </c>
      <c r="N92" s="1" t="str">
        <f t="shared" si="3"/>
        <v>006Rg00000b3XIJIA2</v>
      </c>
    </row>
    <row r="93" spans="1:14" x14ac:dyDescent="0.4">
      <c r="A93" s="1">
        <v>5</v>
      </c>
      <c r="B93" s="1">
        <v>12</v>
      </c>
      <c r="C93" s="1" t="s">
        <v>533</v>
      </c>
      <c r="D93" s="11" t="s">
        <v>1</v>
      </c>
      <c r="E93" s="1" t="s">
        <v>134</v>
      </c>
      <c r="F93" s="1" t="s">
        <v>134</v>
      </c>
      <c r="G93" s="11" t="e">
        <f>_xlfn.XLOOKUP(M93,'Code Catagories'!A:A,'Code Catagories'!C:C)</f>
        <v>#N/A</v>
      </c>
      <c r="H93" s="1" t="s">
        <v>134</v>
      </c>
      <c r="I93" s="1" t="s">
        <v>134</v>
      </c>
      <c r="J93" s="1" t="s">
        <v>134</v>
      </c>
      <c r="K93" s="1" t="s">
        <v>134</v>
      </c>
      <c r="L93" s="10" t="s">
        <v>135</v>
      </c>
      <c r="M93" s="11" t="str">
        <f t="shared" si="4"/>
        <v>—</v>
      </c>
      <c r="N93" s="1" t="str">
        <f t="shared" si="3"/>
        <v>006Rg00000b4kerIAA</v>
      </c>
    </row>
    <row r="94" spans="1:14" x14ac:dyDescent="0.4">
      <c r="A94" s="1">
        <v>5</v>
      </c>
      <c r="B94" s="1">
        <v>12</v>
      </c>
      <c r="C94" s="1" t="s">
        <v>534</v>
      </c>
      <c r="D94" s="11" t="s">
        <v>2</v>
      </c>
      <c r="E94" s="1" t="s">
        <v>134</v>
      </c>
      <c r="F94" s="1" t="s">
        <v>134</v>
      </c>
      <c r="G94" s="11" t="e">
        <f>_xlfn.XLOOKUP(M94,'Code Catagories'!A:A,'Code Catagories'!C:C)</f>
        <v>#N/A</v>
      </c>
      <c r="H94" s="1" t="s">
        <v>134</v>
      </c>
      <c r="I94" s="1" t="s">
        <v>134</v>
      </c>
      <c r="J94" s="1" t="s">
        <v>134</v>
      </c>
      <c r="K94" s="1" t="s">
        <v>134</v>
      </c>
      <c r="L94" s="10" t="s">
        <v>135</v>
      </c>
      <c r="M94" s="11" t="str">
        <f t="shared" si="4"/>
        <v>—</v>
      </c>
      <c r="N94" s="1" t="str">
        <f t="shared" si="3"/>
        <v>006Rg00000b4TsXIAU</v>
      </c>
    </row>
    <row r="95" spans="1:14" x14ac:dyDescent="0.4">
      <c r="A95" s="1">
        <v>5</v>
      </c>
      <c r="B95" s="1">
        <v>12</v>
      </c>
      <c r="C95" s="1" t="s">
        <v>535</v>
      </c>
      <c r="D95" s="11" t="s">
        <v>1</v>
      </c>
      <c r="E95" s="1" t="s">
        <v>134</v>
      </c>
      <c r="F95" s="1" t="s">
        <v>134</v>
      </c>
      <c r="G95" s="11" t="e">
        <f>_xlfn.XLOOKUP(M95,'Code Catagories'!A:A,'Code Catagories'!C:C)</f>
        <v>#N/A</v>
      </c>
      <c r="H95" s="1" t="s">
        <v>134</v>
      </c>
      <c r="I95" s="1" t="s">
        <v>134</v>
      </c>
      <c r="J95" s="1" t="s">
        <v>134</v>
      </c>
      <c r="K95" s="1" t="s">
        <v>134</v>
      </c>
      <c r="L95" s="10" t="s">
        <v>135</v>
      </c>
      <c r="M95" s="11" t="str">
        <f t="shared" si="4"/>
        <v>—</v>
      </c>
      <c r="N95" s="1" t="str">
        <f t="shared" si="3"/>
        <v>006Rg00000b4u37IAA</v>
      </c>
    </row>
    <row r="96" spans="1:14" ht="29.15" x14ac:dyDescent="0.4">
      <c r="A96" s="1">
        <v>5</v>
      </c>
      <c r="B96" s="1">
        <v>13</v>
      </c>
      <c r="C96" s="1" t="s">
        <v>536</v>
      </c>
      <c r="D96" s="11" t="s">
        <v>2</v>
      </c>
      <c r="E96" s="1" t="s">
        <v>537</v>
      </c>
      <c r="F96" s="1" t="s">
        <v>134</v>
      </c>
      <c r="G96" s="11" t="e">
        <f>_xlfn.XLOOKUP(M96,'Code Catagories'!A:A,'Code Catagories'!C:C)</f>
        <v>#N/A</v>
      </c>
      <c r="H96" s="1" t="s">
        <v>134</v>
      </c>
      <c r="I96" s="1" t="s">
        <v>134</v>
      </c>
      <c r="J96" s="1" t="s">
        <v>134</v>
      </c>
      <c r="K96" s="1" t="s">
        <v>134</v>
      </c>
      <c r="L96" s="10" t="s">
        <v>538</v>
      </c>
      <c r="M96" s="11" t="str">
        <f t="shared" si="4"/>
        <v>—</v>
      </c>
      <c r="N96" s="1" t="str">
        <f t="shared" si="3"/>
        <v>006Rg00000b6BLUIA2</v>
      </c>
    </row>
    <row r="97" spans="1:14" ht="29.15" x14ac:dyDescent="0.4">
      <c r="A97" s="1">
        <v>5</v>
      </c>
      <c r="B97" s="1">
        <v>13</v>
      </c>
      <c r="C97" s="1" t="s">
        <v>539</v>
      </c>
      <c r="D97" s="11" t="s">
        <v>1</v>
      </c>
      <c r="E97" s="1" t="s">
        <v>537</v>
      </c>
      <c r="F97" s="1" t="s">
        <v>134</v>
      </c>
      <c r="G97" s="11" t="e">
        <f>_xlfn.XLOOKUP(M97,'Code Catagories'!A:A,'Code Catagories'!C:C)</f>
        <v>#N/A</v>
      </c>
      <c r="H97" s="1" t="s">
        <v>134</v>
      </c>
      <c r="I97" s="1" t="s">
        <v>134</v>
      </c>
      <c r="J97" s="1" t="s">
        <v>134</v>
      </c>
      <c r="K97" s="1" t="s">
        <v>134</v>
      </c>
      <c r="L97" s="10" t="s">
        <v>540</v>
      </c>
      <c r="M97" s="11" t="str">
        <f t="shared" si="4"/>
        <v>—</v>
      </c>
      <c r="N97" s="1" t="str">
        <f t="shared" si="3"/>
        <v>006Rg00000b6HorIAE</v>
      </c>
    </row>
    <row r="98" spans="1:14" ht="29.15" x14ac:dyDescent="0.4">
      <c r="A98" s="1">
        <v>5</v>
      </c>
      <c r="B98" s="1">
        <v>13</v>
      </c>
      <c r="C98" s="1" t="s">
        <v>541</v>
      </c>
      <c r="D98" s="11" t="s">
        <v>1</v>
      </c>
      <c r="E98" s="1" t="s">
        <v>542</v>
      </c>
      <c r="F98" s="1" t="s">
        <v>134</v>
      </c>
      <c r="G98" s="11" t="e">
        <f>_xlfn.XLOOKUP(M98,'Code Catagories'!A:A,'Code Catagories'!C:C)</f>
        <v>#N/A</v>
      </c>
      <c r="H98" s="1" t="s">
        <v>134</v>
      </c>
      <c r="I98" s="1" t="s">
        <v>134</v>
      </c>
      <c r="J98" s="1" t="s">
        <v>134</v>
      </c>
      <c r="K98" s="1" t="s">
        <v>134</v>
      </c>
      <c r="L98" s="10" t="s">
        <v>543</v>
      </c>
      <c r="M98" s="11" t="str">
        <f t="shared" si="4"/>
        <v>—</v>
      </c>
      <c r="N98" s="1" t="str">
        <f t="shared" ref="N98:N129" si="5">TRIM(C98)</f>
        <v>006Rg00000b6k4VIAQ</v>
      </c>
    </row>
    <row r="99" spans="1:14" ht="29.15" x14ac:dyDescent="0.4">
      <c r="A99" s="1">
        <v>5</v>
      </c>
      <c r="B99" s="1">
        <v>13</v>
      </c>
      <c r="C99" s="1" t="s">
        <v>544</v>
      </c>
      <c r="D99" s="11" t="s">
        <v>1</v>
      </c>
      <c r="E99" s="1" t="s">
        <v>545</v>
      </c>
      <c r="F99" s="1" t="s">
        <v>134</v>
      </c>
      <c r="G99" s="11" t="e">
        <f>_xlfn.XLOOKUP(M99,'Code Catagories'!A:A,'Code Catagories'!C:C)</f>
        <v>#N/A</v>
      </c>
      <c r="H99" s="1" t="s">
        <v>134</v>
      </c>
      <c r="I99" s="1" t="s">
        <v>134</v>
      </c>
      <c r="J99" s="1" t="s">
        <v>134</v>
      </c>
      <c r="K99" s="1" t="s">
        <v>134</v>
      </c>
      <c r="L99" s="10" t="s">
        <v>546</v>
      </c>
      <c r="M99" s="11" t="str">
        <f t="shared" si="4"/>
        <v>—</v>
      </c>
      <c r="N99" s="1" t="str">
        <f t="shared" si="5"/>
        <v>006Rg00000b6L4TIAU</v>
      </c>
    </row>
    <row r="100" spans="1:14" x14ac:dyDescent="0.4">
      <c r="A100" s="1">
        <v>5</v>
      </c>
      <c r="B100" s="1">
        <v>13</v>
      </c>
      <c r="C100" s="1" t="s">
        <v>547</v>
      </c>
      <c r="D100" s="11" t="s">
        <v>1</v>
      </c>
      <c r="E100" s="1" t="s">
        <v>134</v>
      </c>
      <c r="F100" s="1" t="s">
        <v>134</v>
      </c>
      <c r="G100" s="11" t="e">
        <f>_xlfn.XLOOKUP(M100,'Code Catagories'!A:A,'Code Catagories'!C:C)</f>
        <v>#N/A</v>
      </c>
      <c r="H100" s="1" t="s">
        <v>134</v>
      </c>
      <c r="I100" s="1" t="s">
        <v>134</v>
      </c>
      <c r="J100" s="1" t="s">
        <v>134</v>
      </c>
      <c r="K100" s="1" t="s">
        <v>134</v>
      </c>
      <c r="L100" s="10" t="s">
        <v>548</v>
      </c>
      <c r="M100" s="11" t="str">
        <f t="shared" si="4"/>
        <v>—</v>
      </c>
      <c r="N100" s="1" t="str">
        <f t="shared" si="5"/>
        <v>006Rg00000b6o3FIAQ</v>
      </c>
    </row>
    <row r="101" spans="1:14" ht="29.15" x14ac:dyDescent="0.4">
      <c r="A101" s="1">
        <v>5</v>
      </c>
      <c r="B101" s="1">
        <v>13</v>
      </c>
      <c r="C101" s="1" t="s">
        <v>549</v>
      </c>
      <c r="D101" s="11" t="s">
        <v>1</v>
      </c>
      <c r="E101" s="1" t="s">
        <v>134</v>
      </c>
      <c r="F101" s="1" t="s">
        <v>222</v>
      </c>
      <c r="G101" s="11" t="str">
        <f>_xlfn.XLOOKUP(M101,'Code Catagories'!A:A,'Code Catagories'!C:C)</f>
        <v>4C. Commercial Model</v>
      </c>
      <c r="H101" s="1" t="s">
        <v>138</v>
      </c>
      <c r="I101" s="1" t="s">
        <v>279</v>
      </c>
      <c r="J101" s="1" t="s">
        <v>147</v>
      </c>
      <c r="K101" s="1" t="s">
        <v>148</v>
      </c>
      <c r="L101" s="10" t="s">
        <v>550</v>
      </c>
      <c r="M101" s="11" t="str">
        <f t="shared" si="4"/>
        <v>4C</v>
      </c>
      <c r="N101" s="1" t="str">
        <f t="shared" si="5"/>
        <v>006Rg00000b6QdgIAE</v>
      </c>
    </row>
    <row r="102" spans="1:14" ht="29.15" x14ac:dyDescent="0.4">
      <c r="A102" s="1">
        <v>5</v>
      </c>
      <c r="B102" s="1">
        <v>13</v>
      </c>
      <c r="C102" s="1" t="s">
        <v>551</v>
      </c>
      <c r="D102" s="11" t="s">
        <v>2</v>
      </c>
      <c r="E102" s="1" t="s">
        <v>134</v>
      </c>
      <c r="F102" s="1" t="s">
        <v>134</v>
      </c>
      <c r="G102" s="11" t="e">
        <f>_xlfn.XLOOKUP(M102,'Code Catagories'!A:A,'Code Catagories'!C:C)</f>
        <v>#N/A</v>
      </c>
      <c r="H102" s="1" t="s">
        <v>134</v>
      </c>
      <c r="I102" s="1" t="s">
        <v>134</v>
      </c>
      <c r="J102" s="1" t="s">
        <v>134</v>
      </c>
      <c r="K102" s="1" t="s">
        <v>134</v>
      </c>
      <c r="L102" s="10" t="s">
        <v>552</v>
      </c>
      <c r="M102" s="11" t="str">
        <f t="shared" si="4"/>
        <v>—</v>
      </c>
      <c r="N102" s="1" t="str">
        <f t="shared" si="5"/>
        <v>006Rg00000b7BB7IAM</v>
      </c>
    </row>
    <row r="103" spans="1:14" ht="29.15" x14ac:dyDescent="0.4">
      <c r="A103" s="1">
        <v>5</v>
      </c>
      <c r="B103" s="1">
        <v>13</v>
      </c>
      <c r="C103" s="1" t="s">
        <v>553</v>
      </c>
      <c r="D103" s="11" t="s">
        <v>1</v>
      </c>
      <c r="E103" s="1" t="s">
        <v>467</v>
      </c>
      <c r="F103" s="1" t="s">
        <v>134</v>
      </c>
      <c r="G103" s="11" t="e">
        <f>_xlfn.XLOOKUP(M103,'Code Catagories'!A:A,'Code Catagories'!C:C)</f>
        <v>#N/A</v>
      </c>
      <c r="H103" s="1" t="s">
        <v>134</v>
      </c>
      <c r="I103" s="1" t="s">
        <v>134</v>
      </c>
      <c r="J103" s="1" t="s">
        <v>134</v>
      </c>
      <c r="K103" s="1" t="s">
        <v>134</v>
      </c>
      <c r="L103" s="10" t="s">
        <v>554</v>
      </c>
      <c r="M103" s="11" t="str">
        <f t="shared" si="4"/>
        <v>—</v>
      </c>
      <c r="N103" s="1" t="str">
        <f t="shared" si="5"/>
        <v>006Rg00000b7h4XIAQ</v>
      </c>
    </row>
    <row r="104" spans="1:14" ht="29.15" x14ac:dyDescent="0.4">
      <c r="A104" s="1">
        <v>5</v>
      </c>
      <c r="B104" s="1">
        <v>13</v>
      </c>
      <c r="C104" s="1" t="s">
        <v>555</v>
      </c>
      <c r="D104" s="11" t="s">
        <v>1</v>
      </c>
      <c r="E104" s="1" t="s">
        <v>556</v>
      </c>
      <c r="F104" s="1" t="s">
        <v>134</v>
      </c>
      <c r="G104" s="11" t="e">
        <f>_xlfn.XLOOKUP(M104,'Code Catagories'!A:A,'Code Catagories'!C:C)</f>
        <v>#N/A</v>
      </c>
      <c r="H104" s="1" t="s">
        <v>134</v>
      </c>
      <c r="I104" s="1" t="s">
        <v>134</v>
      </c>
      <c r="J104" s="1" t="s">
        <v>134</v>
      </c>
      <c r="K104" s="1" t="s">
        <v>134</v>
      </c>
      <c r="L104" s="10" t="s">
        <v>557</v>
      </c>
      <c r="M104" s="11" t="str">
        <f t="shared" si="4"/>
        <v>—</v>
      </c>
      <c r="N104" s="1" t="str">
        <f t="shared" si="5"/>
        <v>006Rg00000b7REHIA2</v>
      </c>
    </row>
    <row r="105" spans="1:14" ht="43.75" x14ac:dyDescent="0.4">
      <c r="A105" s="1">
        <v>5</v>
      </c>
      <c r="B105" s="1">
        <v>13</v>
      </c>
      <c r="C105" s="1" t="s">
        <v>558</v>
      </c>
      <c r="D105" s="11" t="s">
        <v>1</v>
      </c>
      <c r="E105" s="1" t="s">
        <v>134</v>
      </c>
      <c r="F105" s="1" t="s">
        <v>222</v>
      </c>
      <c r="G105" s="11" t="str">
        <f>_xlfn.XLOOKUP(M105,'Code Catagories'!A:A,'Code Catagories'!C:C)</f>
        <v>4C. Commercial Model</v>
      </c>
      <c r="H105" s="1" t="s">
        <v>138</v>
      </c>
      <c r="I105" s="1" t="s">
        <v>279</v>
      </c>
      <c r="J105" s="1" t="s">
        <v>140</v>
      </c>
      <c r="K105" s="1" t="s">
        <v>141</v>
      </c>
      <c r="L105" s="10" t="s">
        <v>559</v>
      </c>
      <c r="M105" s="11" t="str">
        <f t="shared" si="4"/>
        <v>4C</v>
      </c>
      <c r="N105" s="1" t="str">
        <f t="shared" si="5"/>
        <v>006Rg00000b7snyIAA</v>
      </c>
    </row>
    <row r="106" spans="1:14" ht="43.75" x14ac:dyDescent="0.4">
      <c r="A106" s="1">
        <v>5</v>
      </c>
      <c r="B106" s="1">
        <v>13</v>
      </c>
      <c r="C106" s="1" t="s">
        <v>560</v>
      </c>
      <c r="D106" s="11" t="s">
        <v>2</v>
      </c>
      <c r="E106" s="1" t="s">
        <v>134</v>
      </c>
      <c r="F106" s="1" t="s">
        <v>134</v>
      </c>
      <c r="G106" s="11" t="e">
        <f>_xlfn.XLOOKUP(M106,'Code Catagories'!A:A,'Code Catagories'!C:C)</f>
        <v>#N/A</v>
      </c>
      <c r="H106" s="1" t="s">
        <v>134</v>
      </c>
      <c r="I106" s="1" t="s">
        <v>134</v>
      </c>
      <c r="J106" s="1" t="s">
        <v>134</v>
      </c>
      <c r="K106" s="1" t="s">
        <v>134</v>
      </c>
      <c r="L106" s="10" t="s">
        <v>561</v>
      </c>
      <c r="M106" s="11" t="str">
        <f t="shared" si="4"/>
        <v>—</v>
      </c>
      <c r="N106" s="1" t="str">
        <f t="shared" si="5"/>
        <v>006Rg00000b12AXIAY</v>
      </c>
    </row>
    <row r="107" spans="1:14" x14ac:dyDescent="0.4">
      <c r="A107" s="1">
        <v>5</v>
      </c>
      <c r="B107" s="1">
        <v>13</v>
      </c>
      <c r="C107" s="1" t="s">
        <v>562</v>
      </c>
      <c r="D107" s="11" t="s">
        <v>1</v>
      </c>
      <c r="E107" s="1" t="s">
        <v>134</v>
      </c>
      <c r="F107" s="1" t="s">
        <v>134</v>
      </c>
      <c r="G107" s="11" t="e">
        <f>_xlfn.XLOOKUP(M107,'Code Catagories'!A:A,'Code Catagories'!C:C)</f>
        <v>#N/A</v>
      </c>
      <c r="H107" s="1" t="s">
        <v>134</v>
      </c>
      <c r="I107" s="1" t="s">
        <v>134</v>
      </c>
      <c r="J107" s="1" t="s">
        <v>134</v>
      </c>
      <c r="K107" s="1" t="s">
        <v>134</v>
      </c>
      <c r="L107" s="10" t="s">
        <v>563</v>
      </c>
      <c r="M107" s="11" t="str">
        <f t="shared" si="4"/>
        <v>—</v>
      </c>
      <c r="N107" s="1" t="str">
        <f t="shared" si="5"/>
        <v>006Rg00000b42AoIAI</v>
      </c>
    </row>
    <row r="108" spans="1:14" ht="29.15" x14ac:dyDescent="0.4">
      <c r="A108" s="1">
        <v>5</v>
      </c>
      <c r="B108" s="1">
        <v>13</v>
      </c>
      <c r="C108" s="1" t="s">
        <v>564</v>
      </c>
      <c r="D108" s="11" t="s">
        <v>2</v>
      </c>
      <c r="E108" s="1" t="s">
        <v>134</v>
      </c>
      <c r="F108" s="1" t="s">
        <v>134</v>
      </c>
      <c r="G108" s="11" t="e">
        <f>_xlfn.XLOOKUP(M108,'Code Catagories'!A:A,'Code Catagories'!C:C)</f>
        <v>#N/A</v>
      </c>
      <c r="H108" s="1" t="s">
        <v>134</v>
      </c>
      <c r="I108" s="1" t="s">
        <v>134</v>
      </c>
      <c r="J108" s="1" t="s">
        <v>134</v>
      </c>
      <c r="K108" s="1" t="s">
        <v>134</v>
      </c>
      <c r="L108" s="10" t="s">
        <v>565</v>
      </c>
      <c r="M108" s="11" t="str">
        <f t="shared" si="4"/>
        <v>—</v>
      </c>
      <c r="N108" s="1" t="str">
        <f t="shared" si="5"/>
        <v>006Rg00000b46pWIAQ</v>
      </c>
    </row>
    <row r="109" spans="1:14" ht="43.75" x14ac:dyDescent="0.4">
      <c r="A109" s="1">
        <v>5</v>
      </c>
      <c r="B109" s="1">
        <v>13</v>
      </c>
      <c r="C109" s="1" t="s">
        <v>566</v>
      </c>
      <c r="D109" s="11" t="s">
        <v>1</v>
      </c>
      <c r="E109" s="1" t="s">
        <v>567</v>
      </c>
      <c r="F109" s="1" t="s">
        <v>134</v>
      </c>
      <c r="G109" s="11" t="e">
        <f>_xlfn.XLOOKUP(M109,'Code Catagories'!A:A,'Code Catagories'!C:C)</f>
        <v>#N/A</v>
      </c>
      <c r="H109" s="1" t="s">
        <v>134</v>
      </c>
      <c r="I109" s="1" t="s">
        <v>134</v>
      </c>
      <c r="J109" s="1" t="s">
        <v>134</v>
      </c>
      <c r="K109" s="1" t="s">
        <v>134</v>
      </c>
      <c r="L109" s="10" t="s">
        <v>568</v>
      </c>
      <c r="M109" s="11" t="str">
        <f t="shared" si="4"/>
        <v>—</v>
      </c>
      <c r="N109" s="1" t="str">
        <f t="shared" si="5"/>
        <v>006Rg00000b47QbIAI</v>
      </c>
    </row>
    <row r="110" spans="1:14" ht="43.75" x14ac:dyDescent="0.4">
      <c r="A110" s="1">
        <v>5</v>
      </c>
      <c r="B110" s="1">
        <v>13</v>
      </c>
      <c r="C110" s="1" t="s">
        <v>569</v>
      </c>
      <c r="D110" s="11" t="s">
        <v>2</v>
      </c>
      <c r="E110" s="1" t="s">
        <v>570</v>
      </c>
      <c r="F110" s="1" t="s">
        <v>134</v>
      </c>
      <c r="G110" s="11" t="e">
        <f>_xlfn.XLOOKUP(M110,'Code Catagories'!A:A,'Code Catagories'!C:C)</f>
        <v>#N/A</v>
      </c>
      <c r="H110" s="1" t="s">
        <v>134</v>
      </c>
      <c r="I110" s="1" t="s">
        <v>134</v>
      </c>
      <c r="J110" s="1" t="s">
        <v>134</v>
      </c>
      <c r="K110" s="1" t="s">
        <v>134</v>
      </c>
      <c r="L110" s="10" t="s">
        <v>571</v>
      </c>
      <c r="M110" s="11" t="str">
        <f t="shared" si="4"/>
        <v>—</v>
      </c>
      <c r="N110" s="1" t="str">
        <f t="shared" si="5"/>
        <v>006Rg00000b75s5IAA</v>
      </c>
    </row>
    <row r="111" spans="1:14" ht="29.15" x14ac:dyDescent="0.4">
      <c r="A111" s="1">
        <v>5</v>
      </c>
      <c r="B111" s="1">
        <v>13</v>
      </c>
      <c r="C111" s="1" t="s">
        <v>572</v>
      </c>
      <c r="D111" s="11" t="s">
        <v>1</v>
      </c>
      <c r="E111" s="1" t="s">
        <v>134</v>
      </c>
      <c r="F111" s="1" t="s">
        <v>134</v>
      </c>
      <c r="G111" s="11" t="e">
        <f>_xlfn.XLOOKUP(M111,'Code Catagories'!A:A,'Code Catagories'!C:C)</f>
        <v>#N/A</v>
      </c>
      <c r="H111" s="1" t="s">
        <v>134</v>
      </c>
      <c r="I111" s="1" t="s">
        <v>134</v>
      </c>
      <c r="J111" s="1" t="s">
        <v>134</v>
      </c>
      <c r="K111" s="1" t="s">
        <v>134</v>
      </c>
      <c r="L111" s="10" t="s">
        <v>573</v>
      </c>
      <c r="M111" s="11" t="str">
        <f t="shared" si="4"/>
        <v>—</v>
      </c>
      <c r="N111" s="1" t="str">
        <f t="shared" si="5"/>
        <v>006Rg00000b111dIAA</v>
      </c>
    </row>
    <row r="112" spans="1:14" ht="43.75" x14ac:dyDescent="0.4">
      <c r="A112" s="1">
        <v>5</v>
      </c>
      <c r="B112" s="1">
        <v>13</v>
      </c>
      <c r="C112" s="1" t="s">
        <v>574</v>
      </c>
      <c r="D112" s="11" t="s">
        <v>1</v>
      </c>
      <c r="E112" s="1" t="s">
        <v>134</v>
      </c>
      <c r="F112" s="1" t="s">
        <v>222</v>
      </c>
      <c r="G112" s="11" t="str">
        <f>_xlfn.XLOOKUP(M112,'Code Catagories'!A:A,'Code Catagories'!C:C)</f>
        <v>4C. Commercial Model</v>
      </c>
      <c r="H112" s="1" t="s">
        <v>138</v>
      </c>
      <c r="I112" s="1" t="s">
        <v>279</v>
      </c>
      <c r="J112" s="1" t="s">
        <v>147</v>
      </c>
      <c r="K112" s="1" t="s">
        <v>148</v>
      </c>
      <c r="L112" s="10" t="s">
        <v>575</v>
      </c>
      <c r="M112" s="11" t="str">
        <f t="shared" si="4"/>
        <v>4C</v>
      </c>
      <c r="N112" s="1" t="str">
        <f t="shared" si="5"/>
        <v>006Rg00000b738lIAA</v>
      </c>
    </row>
    <row r="113" spans="1:14" ht="43.75" x14ac:dyDescent="0.4">
      <c r="A113" s="1">
        <v>5</v>
      </c>
      <c r="B113" s="1">
        <v>13</v>
      </c>
      <c r="C113" s="1" t="s">
        <v>576</v>
      </c>
      <c r="D113" s="11" t="s">
        <v>1</v>
      </c>
      <c r="E113" s="1" t="s">
        <v>577</v>
      </c>
      <c r="F113" s="1" t="s">
        <v>134</v>
      </c>
      <c r="G113" s="11" t="e">
        <f>_xlfn.XLOOKUP(M113,'Code Catagories'!A:A,'Code Catagories'!C:C)</f>
        <v>#N/A</v>
      </c>
      <c r="H113" s="1" t="s">
        <v>134</v>
      </c>
      <c r="I113" s="1" t="s">
        <v>134</v>
      </c>
      <c r="J113" s="1" t="s">
        <v>134</v>
      </c>
      <c r="K113" s="1" t="s">
        <v>134</v>
      </c>
      <c r="L113" s="10" t="s">
        <v>578</v>
      </c>
      <c r="M113" s="11" t="str">
        <f t="shared" si="4"/>
        <v>—</v>
      </c>
      <c r="N113" s="1" t="str">
        <f t="shared" si="5"/>
        <v>006Rg00000ba5FCIAY</v>
      </c>
    </row>
    <row r="114" spans="1:14" ht="29.15" x14ac:dyDescent="0.4">
      <c r="A114" s="1">
        <v>5</v>
      </c>
      <c r="B114" s="1">
        <v>13</v>
      </c>
      <c r="C114" s="1" t="s">
        <v>579</v>
      </c>
      <c r="D114" s="11" t="s">
        <v>1</v>
      </c>
      <c r="E114" s="1" t="s">
        <v>445</v>
      </c>
      <c r="F114" s="1" t="s">
        <v>134</v>
      </c>
      <c r="G114" s="11" t="e">
        <f>_xlfn.XLOOKUP(M114,'Code Catagories'!A:A,'Code Catagories'!C:C)</f>
        <v>#N/A</v>
      </c>
      <c r="H114" s="1" t="s">
        <v>134</v>
      </c>
      <c r="I114" s="1" t="s">
        <v>134</v>
      </c>
      <c r="J114" s="1" t="s">
        <v>134</v>
      </c>
      <c r="K114" s="1" t="s">
        <v>134</v>
      </c>
      <c r="L114" s="10" t="s">
        <v>580</v>
      </c>
      <c r="M114" s="11" t="str">
        <f t="shared" si="4"/>
        <v>—</v>
      </c>
      <c r="N114" s="1" t="str">
        <f t="shared" si="5"/>
        <v>006Rg00000bac6LIAQ</v>
      </c>
    </row>
    <row r="115" spans="1:14" ht="43.75" x14ac:dyDescent="0.4">
      <c r="A115" s="1">
        <v>5</v>
      </c>
      <c r="B115" s="1">
        <v>13</v>
      </c>
      <c r="C115" s="1" t="s">
        <v>581</v>
      </c>
      <c r="D115" s="11" t="s">
        <v>1</v>
      </c>
      <c r="E115" s="1" t="s">
        <v>416</v>
      </c>
      <c r="F115" s="1" t="s">
        <v>137</v>
      </c>
      <c r="G115" s="11" t="str">
        <f>_xlfn.XLOOKUP(M115,'Code Catagories'!A:A,'Code Catagories'!C:C)</f>
        <v>4B. Ancillary Fees</v>
      </c>
      <c r="H115" s="1" t="s">
        <v>138</v>
      </c>
      <c r="I115" s="1" t="s">
        <v>514</v>
      </c>
      <c r="J115" s="1" t="s">
        <v>140</v>
      </c>
      <c r="K115" s="1" t="s">
        <v>141</v>
      </c>
      <c r="L115" s="10" t="s">
        <v>582</v>
      </c>
      <c r="M115" s="11" t="str">
        <f t="shared" si="4"/>
        <v>4B</v>
      </c>
      <c r="N115" s="1" t="str">
        <f t="shared" si="5"/>
        <v>006Rg00000baVuPIAU</v>
      </c>
    </row>
    <row r="116" spans="1:14" ht="29.15" x14ac:dyDescent="0.4">
      <c r="A116" s="1">
        <v>4</v>
      </c>
      <c r="B116" s="1">
        <v>1</v>
      </c>
      <c r="C116" s="4" t="s">
        <v>10</v>
      </c>
      <c r="D116" s="1" t="s">
        <v>1</v>
      </c>
      <c r="E116" s="4"/>
      <c r="F116" s="4" t="s">
        <v>166</v>
      </c>
      <c r="G116" s="11" t="str">
        <f>_xlfn.XLOOKUP(M116,'Code Catagories'!A:A,'Code Catagories'!C:C)</f>
        <v>4F. Promotion Ineligibility</v>
      </c>
      <c r="H116" s="4" t="s">
        <v>134</v>
      </c>
      <c r="I116" s="4" t="s">
        <v>167</v>
      </c>
      <c r="J116" s="4" t="s">
        <v>203</v>
      </c>
      <c r="K116" s="4" t="s">
        <v>148</v>
      </c>
      <c r="L116" s="7" t="s">
        <v>242</v>
      </c>
      <c r="M116" s="11" t="str">
        <f>TRIM(F116)</f>
        <v>4F</v>
      </c>
      <c r="N116" s="1" t="str">
        <f t="shared" si="5"/>
        <v>006Rg00000a4cmjIAA</v>
      </c>
    </row>
    <row r="117" spans="1:14" ht="29.15" x14ac:dyDescent="0.4">
      <c r="A117" s="1">
        <v>4</v>
      </c>
      <c r="B117" s="1">
        <v>1</v>
      </c>
      <c r="C117" s="4" t="s">
        <v>221</v>
      </c>
      <c r="D117" s="1" t="s">
        <v>1</v>
      </c>
      <c r="E117" s="4"/>
      <c r="F117" s="4" t="s">
        <v>222</v>
      </c>
      <c r="G117" s="11" t="str">
        <f>_xlfn.XLOOKUP(M117,'Code Catagories'!A:A,'Code Catagories'!C:C)</f>
        <v>4C. Commercial Model</v>
      </c>
      <c r="H117" s="4" t="s">
        <v>134</v>
      </c>
      <c r="I117" s="4" t="s">
        <v>223</v>
      </c>
      <c r="J117" s="4" t="s">
        <v>203</v>
      </c>
      <c r="K117" s="4" t="s">
        <v>148</v>
      </c>
      <c r="L117" s="7" t="s">
        <v>243</v>
      </c>
      <c r="M117" s="11" t="str">
        <f t="shared" ref="M117:M180" si="6">TRIM(F117)</f>
        <v>4C</v>
      </c>
      <c r="N117" s="1" t="str">
        <f t="shared" si="5"/>
        <v>006Rg00000a4cmjIAA</v>
      </c>
    </row>
    <row r="118" spans="1:14" ht="29.15" x14ac:dyDescent="0.4">
      <c r="A118" s="1">
        <v>4</v>
      </c>
      <c r="B118" s="1">
        <v>1</v>
      </c>
      <c r="C118" s="4" t="s">
        <v>221</v>
      </c>
      <c r="D118" s="1" t="s">
        <v>1</v>
      </c>
      <c r="E118" s="4"/>
      <c r="F118" s="4" t="s">
        <v>192</v>
      </c>
      <c r="G118" s="11" t="str">
        <f>_xlfn.XLOOKUP(M118,'Code Catagories'!A:A,'Code Catagories'!C:C)</f>
        <v>4D. Contract Mechanics</v>
      </c>
      <c r="H118" s="4" t="s">
        <v>134</v>
      </c>
      <c r="I118" s="4" t="s">
        <v>193</v>
      </c>
      <c r="J118" s="4" t="s">
        <v>203</v>
      </c>
      <c r="K118" s="4" t="s">
        <v>148</v>
      </c>
      <c r="L118" s="7" t="s">
        <v>244</v>
      </c>
      <c r="M118" s="11" t="str">
        <f t="shared" si="6"/>
        <v>4D</v>
      </c>
      <c r="N118" s="1" t="str">
        <f t="shared" si="5"/>
        <v>006Rg00000a4cmjIAA</v>
      </c>
    </row>
    <row r="119" spans="1:14" x14ac:dyDescent="0.4">
      <c r="A119" s="1">
        <v>4</v>
      </c>
      <c r="B119" s="1">
        <v>1</v>
      </c>
      <c r="C119" s="4" t="s">
        <v>225</v>
      </c>
      <c r="D119" s="1" t="s">
        <v>2</v>
      </c>
      <c r="E119" s="4"/>
      <c r="F119" s="4" t="s">
        <v>134</v>
      </c>
      <c r="G119" s="11" t="e">
        <f>_xlfn.XLOOKUP(M119,'Code Catagories'!A:A,'Code Catagories'!C:C)</f>
        <v>#N/A</v>
      </c>
      <c r="H119" s="4" t="s">
        <v>134</v>
      </c>
      <c r="I119" s="4" t="s">
        <v>134</v>
      </c>
      <c r="J119" s="4" t="s">
        <v>134</v>
      </c>
      <c r="K119" s="4" t="s">
        <v>134</v>
      </c>
      <c r="L119" s="7" t="s">
        <v>135</v>
      </c>
      <c r="M119" s="11" t="str">
        <f t="shared" si="6"/>
        <v>—</v>
      </c>
      <c r="N119" s="1" t="str">
        <f t="shared" si="5"/>
        <v>006Rg00000a4glWIAQ</v>
      </c>
    </row>
    <row r="120" spans="1:14" ht="29.15" x14ac:dyDescent="0.4">
      <c r="A120" s="1">
        <v>4</v>
      </c>
      <c r="B120" s="1">
        <v>1</v>
      </c>
      <c r="C120" s="4" t="s">
        <v>226</v>
      </c>
      <c r="D120" s="1" t="s">
        <v>1</v>
      </c>
      <c r="E120" s="4"/>
      <c r="F120" s="4" t="s">
        <v>222</v>
      </c>
      <c r="G120" s="11" t="str">
        <f>_xlfn.XLOOKUP(M120,'Code Catagories'!A:A,'Code Catagories'!C:C)</f>
        <v>4C. Commercial Model</v>
      </c>
      <c r="H120" s="4" t="s">
        <v>134</v>
      </c>
      <c r="I120" s="4" t="s">
        <v>239</v>
      </c>
      <c r="J120" s="4" t="s">
        <v>245</v>
      </c>
      <c r="K120" s="4" t="s">
        <v>141</v>
      </c>
      <c r="L120" s="7" t="s">
        <v>246</v>
      </c>
      <c r="M120" s="11" t="str">
        <f t="shared" si="6"/>
        <v>4C</v>
      </c>
      <c r="N120" s="1" t="str">
        <f t="shared" si="5"/>
        <v>006Rg00000a4NXeIAM</v>
      </c>
    </row>
    <row r="121" spans="1:14" ht="29.15" x14ac:dyDescent="0.4">
      <c r="A121" s="1">
        <v>4</v>
      </c>
      <c r="B121" s="1">
        <v>1</v>
      </c>
      <c r="C121" s="4" t="s">
        <v>226</v>
      </c>
      <c r="D121" s="1" t="s">
        <v>1</v>
      </c>
      <c r="E121" s="4"/>
      <c r="F121" s="4" t="s">
        <v>137</v>
      </c>
      <c r="G121" s="11" t="str">
        <f>_xlfn.XLOOKUP(M121,'Code Catagories'!A:A,'Code Catagories'!C:C)</f>
        <v>4B. Ancillary Fees</v>
      </c>
      <c r="H121" s="4" t="s">
        <v>134</v>
      </c>
      <c r="I121" s="4" t="s">
        <v>247</v>
      </c>
      <c r="J121" s="4" t="s">
        <v>203</v>
      </c>
      <c r="K121" s="4" t="s">
        <v>141</v>
      </c>
      <c r="L121" s="7" t="s">
        <v>248</v>
      </c>
      <c r="M121" s="11" t="str">
        <f t="shared" si="6"/>
        <v>4B</v>
      </c>
      <c r="N121" s="1" t="str">
        <f t="shared" si="5"/>
        <v>006Rg00000a4NXeIAM</v>
      </c>
    </row>
    <row r="122" spans="1:14" ht="29.15" x14ac:dyDescent="0.4">
      <c r="A122" s="1">
        <v>4</v>
      </c>
      <c r="B122" s="1">
        <v>1</v>
      </c>
      <c r="C122" s="4" t="s">
        <v>226</v>
      </c>
      <c r="D122" s="1" t="s">
        <v>1</v>
      </c>
      <c r="E122" s="4"/>
      <c r="F122" s="4" t="s">
        <v>153</v>
      </c>
      <c r="G122" s="11" t="str">
        <f>_xlfn.XLOOKUP(M122,'Code Catagories'!A:A,'Code Catagories'!C:C)</f>
        <v>4E. Availability / Serviceability</v>
      </c>
      <c r="H122" s="4" t="s">
        <v>134</v>
      </c>
      <c r="I122" s="4" t="s">
        <v>154</v>
      </c>
      <c r="J122" s="4" t="s">
        <v>203</v>
      </c>
      <c r="K122" s="4" t="s">
        <v>141</v>
      </c>
      <c r="L122" s="7" t="s">
        <v>249</v>
      </c>
      <c r="M122" s="11" t="str">
        <f t="shared" si="6"/>
        <v>4E</v>
      </c>
      <c r="N122" s="1" t="str">
        <f t="shared" si="5"/>
        <v>006Rg00000a4NXeIAM</v>
      </c>
    </row>
    <row r="123" spans="1:14" ht="29.15" x14ac:dyDescent="0.4">
      <c r="A123" s="1">
        <v>4</v>
      </c>
      <c r="B123" s="1">
        <v>1</v>
      </c>
      <c r="C123" s="4" t="s">
        <v>227</v>
      </c>
      <c r="D123" s="1" t="s">
        <v>1</v>
      </c>
      <c r="E123" s="4"/>
      <c r="F123" s="4" t="s">
        <v>166</v>
      </c>
      <c r="G123" s="11" t="str">
        <f>_xlfn.XLOOKUP(M123,'Code Catagories'!A:A,'Code Catagories'!C:C)</f>
        <v>4F. Promotion Ineligibility</v>
      </c>
      <c r="H123" s="4" t="s">
        <v>134</v>
      </c>
      <c r="I123" s="4" t="s">
        <v>167</v>
      </c>
      <c r="J123" s="4" t="s">
        <v>203</v>
      </c>
      <c r="K123" s="4" t="s">
        <v>141</v>
      </c>
      <c r="L123" s="7" t="s">
        <v>250</v>
      </c>
      <c r="M123" s="11" t="str">
        <f t="shared" si="6"/>
        <v>4F</v>
      </c>
      <c r="N123" s="1" t="str">
        <f t="shared" si="5"/>
        <v>006Rg00000a4OLaIAM</v>
      </c>
    </row>
    <row r="124" spans="1:14" ht="29.15" x14ac:dyDescent="0.4">
      <c r="A124" s="1">
        <v>4</v>
      </c>
      <c r="B124" s="1">
        <v>1</v>
      </c>
      <c r="C124" s="4" t="s">
        <v>227</v>
      </c>
      <c r="D124" s="1" t="s">
        <v>1</v>
      </c>
      <c r="E124" s="4"/>
      <c r="F124" s="4" t="s">
        <v>137</v>
      </c>
      <c r="G124" s="11" t="str">
        <f>_xlfn.XLOOKUP(M124,'Code Catagories'!A:A,'Code Catagories'!C:C)</f>
        <v>4B. Ancillary Fees</v>
      </c>
      <c r="H124" s="4" t="s">
        <v>134</v>
      </c>
      <c r="I124" s="4" t="s">
        <v>251</v>
      </c>
      <c r="J124" s="4" t="s">
        <v>203</v>
      </c>
      <c r="K124" s="4" t="s">
        <v>141</v>
      </c>
      <c r="L124" s="7" t="s">
        <v>252</v>
      </c>
      <c r="M124" s="11" t="str">
        <f t="shared" si="6"/>
        <v>4B</v>
      </c>
      <c r="N124" s="1" t="str">
        <f t="shared" si="5"/>
        <v>006Rg00000a4OLaIAM</v>
      </c>
    </row>
    <row r="125" spans="1:14" x14ac:dyDescent="0.4">
      <c r="A125" s="1">
        <v>4</v>
      </c>
      <c r="B125" s="1">
        <v>1</v>
      </c>
      <c r="C125" s="4" t="s">
        <v>229</v>
      </c>
      <c r="D125" s="1" t="s">
        <v>1</v>
      </c>
      <c r="E125" s="4"/>
      <c r="F125" s="4" t="s">
        <v>134</v>
      </c>
      <c r="G125" s="11" t="e">
        <f>_xlfn.XLOOKUP(M125,'Code Catagories'!A:A,'Code Catagories'!C:C)</f>
        <v>#N/A</v>
      </c>
      <c r="H125" s="4" t="s">
        <v>134</v>
      </c>
      <c r="I125" s="4" t="s">
        <v>134</v>
      </c>
      <c r="J125" s="4" t="s">
        <v>134</v>
      </c>
      <c r="K125" s="4" t="s">
        <v>134</v>
      </c>
      <c r="L125" s="7" t="s">
        <v>135</v>
      </c>
      <c r="M125" s="11" t="str">
        <f t="shared" si="6"/>
        <v>—</v>
      </c>
      <c r="N125" s="1" t="str">
        <f t="shared" si="5"/>
        <v>006Rg00000a4z8DIAQ</v>
      </c>
    </row>
    <row r="126" spans="1:14" ht="43.75" x14ac:dyDescent="0.4">
      <c r="A126" s="1">
        <v>4</v>
      </c>
      <c r="B126" s="1">
        <v>1</v>
      </c>
      <c r="C126" s="4" t="s">
        <v>230</v>
      </c>
      <c r="D126" s="1" t="s">
        <v>1</v>
      </c>
      <c r="E126" s="4"/>
      <c r="F126" s="4" t="s">
        <v>222</v>
      </c>
      <c r="G126" s="11" t="str">
        <f>_xlfn.XLOOKUP(M126,'Code Catagories'!A:A,'Code Catagories'!C:C)</f>
        <v>4C. Commercial Model</v>
      </c>
      <c r="H126" s="4" t="s">
        <v>134</v>
      </c>
      <c r="I126" s="4" t="s">
        <v>239</v>
      </c>
      <c r="J126" s="4" t="s">
        <v>203</v>
      </c>
      <c r="K126" s="4" t="s">
        <v>141</v>
      </c>
      <c r="L126" s="7" t="s">
        <v>253</v>
      </c>
      <c r="M126" s="11" t="str">
        <f t="shared" si="6"/>
        <v>4C</v>
      </c>
      <c r="N126" s="1" t="str">
        <f t="shared" si="5"/>
        <v>006Rg00000a5bWtIAI</v>
      </c>
    </row>
    <row r="127" spans="1:14" x14ac:dyDescent="0.4">
      <c r="A127" s="1">
        <v>4</v>
      </c>
      <c r="B127" s="1">
        <v>1</v>
      </c>
      <c r="C127" s="4" t="s">
        <v>230</v>
      </c>
      <c r="D127" s="1" t="s">
        <v>1</v>
      </c>
      <c r="E127" s="4"/>
      <c r="F127" s="4" t="s">
        <v>134</v>
      </c>
      <c r="G127" s="11" t="e">
        <f>_xlfn.XLOOKUP(M127,'Code Catagories'!A:A,'Code Catagories'!C:C)</f>
        <v>#N/A</v>
      </c>
      <c r="H127" s="4" t="s">
        <v>134</v>
      </c>
      <c r="I127" s="4" t="s">
        <v>134</v>
      </c>
      <c r="J127" s="4" t="s">
        <v>134</v>
      </c>
      <c r="K127" s="4" t="s">
        <v>134</v>
      </c>
      <c r="L127" s="7" t="s">
        <v>135</v>
      </c>
      <c r="M127" s="11" t="str">
        <f t="shared" si="6"/>
        <v>—</v>
      </c>
      <c r="N127" s="1" t="str">
        <f t="shared" si="5"/>
        <v>006Rg00000a5bWtIAI</v>
      </c>
    </row>
    <row r="128" spans="1:14" ht="29.15" x14ac:dyDescent="0.4">
      <c r="A128" s="1">
        <v>4</v>
      </c>
      <c r="B128" s="1">
        <v>1</v>
      </c>
      <c r="C128" s="4" t="s">
        <v>231</v>
      </c>
      <c r="D128" s="1" t="s">
        <v>1</v>
      </c>
      <c r="E128" s="4"/>
      <c r="F128" s="4" t="s">
        <v>153</v>
      </c>
      <c r="G128" s="11" t="str">
        <f>_xlfn.XLOOKUP(M128,'Code Catagories'!A:A,'Code Catagories'!C:C)</f>
        <v>4E. Availability / Serviceability</v>
      </c>
      <c r="H128" s="4" t="s">
        <v>138</v>
      </c>
      <c r="I128" s="4" t="s">
        <v>154</v>
      </c>
      <c r="J128" s="4" t="s">
        <v>147</v>
      </c>
      <c r="K128" s="4" t="s">
        <v>148</v>
      </c>
      <c r="L128" s="7" t="s">
        <v>254</v>
      </c>
      <c r="M128" s="11" t="str">
        <f t="shared" si="6"/>
        <v>4E</v>
      </c>
      <c r="N128" s="1" t="str">
        <f t="shared" si="5"/>
        <v>006Rg00000a5YAoIAM</v>
      </c>
    </row>
    <row r="129" spans="1:14" ht="29.15" x14ac:dyDescent="0.4">
      <c r="A129" s="1">
        <v>4</v>
      </c>
      <c r="B129" s="1">
        <v>1</v>
      </c>
      <c r="C129" s="4" t="s">
        <v>231</v>
      </c>
      <c r="D129" s="1" t="s">
        <v>1</v>
      </c>
      <c r="E129" s="4"/>
      <c r="F129" s="4" t="s">
        <v>153</v>
      </c>
      <c r="G129" s="11" t="str">
        <f>_xlfn.XLOOKUP(M129,'Code Catagories'!A:A,'Code Catagories'!C:C)</f>
        <v>4E. Availability / Serviceability</v>
      </c>
      <c r="H129" s="4" t="s">
        <v>134</v>
      </c>
      <c r="I129" s="4" t="s">
        <v>236</v>
      </c>
      <c r="J129" s="4" t="s">
        <v>203</v>
      </c>
      <c r="K129" s="4" t="s">
        <v>141</v>
      </c>
      <c r="L129" s="7" t="s">
        <v>255</v>
      </c>
      <c r="M129" s="11" t="str">
        <f t="shared" si="6"/>
        <v>4E</v>
      </c>
      <c r="N129" s="1" t="str">
        <f t="shared" si="5"/>
        <v>006Rg00000a5YAoIAM</v>
      </c>
    </row>
    <row r="130" spans="1:14" x14ac:dyDescent="0.4">
      <c r="A130" s="1">
        <v>4</v>
      </c>
      <c r="B130" s="1">
        <v>1</v>
      </c>
      <c r="C130" s="4" t="s">
        <v>233</v>
      </c>
      <c r="D130" s="1" t="s">
        <v>2</v>
      </c>
      <c r="E130" s="4"/>
      <c r="F130" s="4" t="s">
        <v>134</v>
      </c>
      <c r="G130" s="11" t="e">
        <f>_xlfn.XLOOKUP(M130,'Code Catagories'!A:A,'Code Catagories'!C:C)</f>
        <v>#N/A</v>
      </c>
      <c r="H130" s="4" t="s">
        <v>134</v>
      </c>
      <c r="I130" s="4" t="s">
        <v>134</v>
      </c>
      <c r="J130" s="4" t="s">
        <v>134</v>
      </c>
      <c r="K130" s="4" t="s">
        <v>134</v>
      </c>
      <c r="L130" s="7" t="s">
        <v>135</v>
      </c>
      <c r="M130" s="11" t="str">
        <f t="shared" si="6"/>
        <v>—</v>
      </c>
      <c r="N130" s="1" t="str">
        <f t="shared" ref="N130:N161" si="7">TRIM(C130)</f>
        <v>006Rg00000a7clOIAQ</v>
      </c>
    </row>
    <row r="131" spans="1:14" x14ac:dyDescent="0.4">
      <c r="A131" s="1">
        <v>4</v>
      </c>
      <c r="B131" s="1">
        <v>1</v>
      </c>
      <c r="C131" s="4" t="s">
        <v>234</v>
      </c>
      <c r="D131" s="1" t="s">
        <v>2</v>
      </c>
      <c r="E131" s="4"/>
      <c r="F131" s="4" t="s">
        <v>134</v>
      </c>
      <c r="G131" s="11" t="e">
        <f>_xlfn.XLOOKUP(M131,'Code Catagories'!A:A,'Code Catagories'!C:C)</f>
        <v>#N/A</v>
      </c>
      <c r="H131" s="4" t="s">
        <v>134</v>
      </c>
      <c r="I131" s="4" t="s">
        <v>134</v>
      </c>
      <c r="J131" s="4" t="s">
        <v>134</v>
      </c>
      <c r="K131" s="4" t="s">
        <v>134</v>
      </c>
      <c r="L131" s="7" t="s">
        <v>135</v>
      </c>
      <c r="M131" s="11" t="str">
        <f t="shared" si="6"/>
        <v>—</v>
      </c>
      <c r="N131" s="1" t="str">
        <f t="shared" si="7"/>
        <v>006Rg00000a7ejzIAA</v>
      </c>
    </row>
    <row r="132" spans="1:14" ht="29.15" x14ac:dyDescent="0.4">
      <c r="A132" s="1">
        <v>4</v>
      </c>
      <c r="B132" s="1">
        <v>1</v>
      </c>
      <c r="C132" s="4" t="s">
        <v>235</v>
      </c>
      <c r="D132" s="1" t="s">
        <v>1</v>
      </c>
      <c r="E132" s="4"/>
      <c r="F132" s="4" t="s">
        <v>137</v>
      </c>
      <c r="G132" s="11" t="str">
        <f>_xlfn.XLOOKUP(M132,'Code Catagories'!A:A,'Code Catagories'!C:C)</f>
        <v>4B. Ancillary Fees</v>
      </c>
      <c r="H132" s="4" t="s">
        <v>138</v>
      </c>
      <c r="I132" s="4" t="s">
        <v>228</v>
      </c>
      <c r="J132" s="4" t="s">
        <v>140</v>
      </c>
      <c r="K132" s="4" t="s">
        <v>141</v>
      </c>
      <c r="L132" s="7" t="s">
        <v>256</v>
      </c>
      <c r="M132" s="11" t="str">
        <f t="shared" si="6"/>
        <v>4B</v>
      </c>
      <c r="N132" s="1" t="str">
        <f t="shared" si="7"/>
        <v>006Rg00000a7iKZIAY</v>
      </c>
    </row>
    <row r="133" spans="1:14" ht="29.15" x14ac:dyDescent="0.4">
      <c r="A133" s="1">
        <v>4</v>
      </c>
      <c r="B133" s="1">
        <v>1</v>
      </c>
      <c r="C133" s="4" t="s">
        <v>237</v>
      </c>
      <c r="D133" s="1" t="s">
        <v>1</v>
      </c>
      <c r="E133" s="4"/>
      <c r="F133" s="4" t="s">
        <v>137</v>
      </c>
      <c r="G133" s="11" t="str">
        <f>_xlfn.XLOOKUP(M133,'Code Catagories'!A:A,'Code Catagories'!C:C)</f>
        <v>4B. Ancillary Fees</v>
      </c>
      <c r="H133" s="4" t="s">
        <v>134</v>
      </c>
      <c r="I133" s="4" t="s">
        <v>207</v>
      </c>
      <c r="J133" s="4" t="s">
        <v>203</v>
      </c>
      <c r="K133" s="4" t="s">
        <v>141</v>
      </c>
      <c r="L133" s="7" t="s">
        <v>257</v>
      </c>
      <c r="M133" s="11" t="str">
        <f t="shared" si="6"/>
        <v>4B</v>
      </c>
      <c r="N133" s="1" t="str">
        <f t="shared" si="7"/>
        <v>006Rg00000a7iSbIAI</v>
      </c>
    </row>
    <row r="134" spans="1:14" x14ac:dyDescent="0.4">
      <c r="A134" s="1">
        <v>4</v>
      </c>
      <c r="B134" s="1">
        <v>1</v>
      </c>
      <c r="C134" s="4" t="s">
        <v>238</v>
      </c>
      <c r="D134" s="1" t="s">
        <v>2</v>
      </c>
      <c r="E134" s="4"/>
      <c r="F134" s="4" t="s">
        <v>134</v>
      </c>
      <c r="G134" s="11" t="e">
        <f>_xlfn.XLOOKUP(M134,'Code Catagories'!A:A,'Code Catagories'!C:C)</f>
        <v>#N/A</v>
      </c>
      <c r="H134" s="4" t="s">
        <v>134</v>
      </c>
      <c r="I134" s="4" t="s">
        <v>134</v>
      </c>
      <c r="J134" s="4" t="s">
        <v>134</v>
      </c>
      <c r="K134" s="4" t="s">
        <v>134</v>
      </c>
      <c r="L134" s="7" t="s">
        <v>135</v>
      </c>
      <c r="M134" s="11" t="str">
        <f t="shared" si="6"/>
        <v>—</v>
      </c>
      <c r="N134" s="1" t="str">
        <f t="shared" si="7"/>
        <v>006Rg00000a7LFtIAM</v>
      </c>
    </row>
    <row r="135" spans="1:14" x14ac:dyDescent="0.4">
      <c r="A135" s="1">
        <v>4</v>
      </c>
      <c r="B135" s="1">
        <v>2</v>
      </c>
      <c r="C135" s="4" t="s">
        <v>133</v>
      </c>
      <c r="D135" s="1" t="s">
        <v>1</v>
      </c>
      <c r="E135" s="4"/>
      <c r="F135" s="4" t="s">
        <v>134</v>
      </c>
      <c r="G135" s="11" t="e">
        <f>_xlfn.XLOOKUP(M135,'Code Catagories'!A:A,'Code Catagories'!C:C)</f>
        <v>#N/A</v>
      </c>
      <c r="H135" s="4" t="s">
        <v>134</v>
      </c>
      <c r="I135" s="4" t="s">
        <v>134</v>
      </c>
      <c r="J135" s="4" t="s">
        <v>134</v>
      </c>
      <c r="K135" s="4" t="s">
        <v>134</v>
      </c>
      <c r="L135" s="7" t="s">
        <v>135</v>
      </c>
      <c r="M135" s="11" t="str">
        <f t="shared" si="6"/>
        <v>—</v>
      </c>
      <c r="N135" s="1" t="str">
        <f t="shared" si="7"/>
        <v>006Rg00000a7mG5IAI</v>
      </c>
    </row>
    <row r="136" spans="1:14" ht="29.15" x14ac:dyDescent="0.4">
      <c r="A136" s="1">
        <v>4</v>
      </c>
      <c r="B136" s="1">
        <v>2</v>
      </c>
      <c r="C136" s="4" t="s">
        <v>136</v>
      </c>
      <c r="D136" s="1" t="s">
        <v>2</v>
      </c>
      <c r="E136" s="4"/>
      <c r="F136" s="4" t="s">
        <v>137</v>
      </c>
      <c r="G136" s="11" t="str">
        <f>_xlfn.XLOOKUP(M136,'Code Catagories'!A:A,'Code Catagories'!C:C)</f>
        <v>4B. Ancillary Fees</v>
      </c>
      <c r="H136" s="4" t="s">
        <v>138</v>
      </c>
      <c r="I136" s="4" t="s">
        <v>139</v>
      </c>
      <c r="J136" s="4" t="s">
        <v>140</v>
      </c>
      <c r="K136" s="4" t="s">
        <v>141</v>
      </c>
      <c r="L136" s="7" t="s">
        <v>258</v>
      </c>
      <c r="M136" s="11" t="str">
        <f t="shared" si="6"/>
        <v>4B</v>
      </c>
      <c r="N136" s="1" t="str">
        <f t="shared" si="7"/>
        <v>006Rg00000a7oMmIAI</v>
      </c>
    </row>
    <row r="137" spans="1:14" ht="29.15" x14ac:dyDescent="0.4">
      <c r="A137" s="1">
        <v>4</v>
      </c>
      <c r="B137" s="1">
        <v>2</v>
      </c>
      <c r="C137" s="4" t="s">
        <v>142</v>
      </c>
      <c r="D137" s="1" t="s">
        <v>2</v>
      </c>
      <c r="E137" s="4"/>
      <c r="F137" s="4" t="s">
        <v>137</v>
      </c>
      <c r="G137" s="11" t="str">
        <f>_xlfn.XLOOKUP(M137,'Code Catagories'!A:A,'Code Catagories'!C:C)</f>
        <v>4B. Ancillary Fees</v>
      </c>
      <c r="H137" s="4" t="s">
        <v>134</v>
      </c>
      <c r="I137" s="4" t="s">
        <v>259</v>
      </c>
      <c r="J137" s="4" t="s">
        <v>203</v>
      </c>
      <c r="K137" s="4" t="s">
        <v>148</v>
      </c>
      <c r="L137" s="7" t="s">
        <v>260</v>
      </c>
      <c r="M137" s="11" t="str">
        <f t="shared" si="6"/>
        <v>4B</v>
      </c>
      <c r="N137" s="1" t="str">
        <f t="shared" si="7"/>
        <v>006Rg00000a7ONSIA2</v>
      </c>
    </row>
    <row r="138" spans="1:14" ht="29.15" x14ac:dyDescent="0.4">
      <c r="A138" s="1">
        <v>4</v>
      </c>
      <c r="B138" s="1">
        <v>2</v>
      </c>
      <c r="C138" s="4" t="s">
        <v>143</v>
      </c>
      <c r="D138" s="1" t="s">
        <v>1</v>
      </c>
      <c r="E138" s="4"/>
      <c r="F138" s="4" t="s">
        <v>222</v>
      </c>
      <c r="G138" s="11" t="str">
        <f>_xlfn.XLOOKUP(M138,'Code Catagories'!A:A,'Code Catagories'!C:C)</f>
        <v>4C. Commercial Model</v>
      </c>
      <c r="H138" s="4" t="s">
        <v>134</v>
      </c>
      <c r="I138" s="4" t="s">
        <v>239</v>
      </c>
      <c r="J138" s="4" t="s">
        <v>203</v>
      </c>
      <c r="K138" s="4" t="s">
        <v>141</v>
      </c>
      <c r="L138" s="7" t="s">
        <v>261</v>
      </c>
      <c r="M138" s="11" t="str">
        <f t="shared" si="6"/>
        <v>4C</v>
      </c>
      <c r="N138" s="1" t="str">
        <f t="shared" si="7"/>
        <v>006Rg00000a7VrzIAE</v>
      </c>
    </row>
    <row r="139" spans="1:14" ht="29.15" x14ac:dyDescent="0.4">
      <c r="A139" s="1">
        <v>4</v>
      </c>
      <c r="B139" s="1">
        <v>2</v>
      </c>
      <c r="C139" s="4" t="s">
        <v>144</v>
      </c>
      <c r="D139" s="1" t="s">
        <v>1</v>
      </c>
      <c r="E139" s="4"/>
      <c r="F139" s="4" t="s">
        <v>145</v>
      </c>
      <c r="G139" s="11" t="str">
        <f>_xlfn.XLOOKUP(M139,'Code Catagories'!A:A,'Code Catagories'!C:C)</f>
        <v>4A. Rate Uncompetitive</v>
      </c>
      <c r="H139" s="4" t="s">
        <v>138</v>
      </c>
      <c r="I139" s="4" t="s">
        <v>146</v>
      </c>
      <c r="J139" s="4" t="s">
        <v>147</v>
      </c>
      <c r="K139" s="4" t="s">
        <v>148</v>
      </c>
      <c r="L139" s="7" t="s">
        <v>262</v>
      </c>
      <c r="M139" s="11" t="str">
        <f t="shared" si="6"/>
        <v>4A</v>
      </c>
      <c r="N139" s="1" t="str">
        <f t="shared" si="7"/>
        <v>006Rg00000a7Ww6IAE</v>
      </c>
    </row>
    <row r="140" spans="1:14" x14ac:dyDescent="0.4">
      <c r="A140" s="1">
        <v>4</v>
      </c>
      <c r="B140" s="1">
        <v>2</v>
      </c>
      <c r="C140" s="4" t="s">
        <v>149</v>
      </c>
      <c r="D140" s="1" t="s">
        <v>1</v>
      </c>
      <c r="E140" s="4"/>
      <c r="F140" s="4" t="s">
        <v>134</v>
      </c>
      <c r="G140" s="11" t="e">
        <f>_xlfn.XLOOKUP(M140,'Code Catagories'!A:A,'Code Catagories'!C:C)</f>
        <v>#N/A</v>
      </c>
      <c r="H140" s="4" t="s">
        <v>134</v>
      </c>
      <c r="I140" s="4" t="s">
        <v>134</v>
      </c>
      <c r="J140" s="4" t="s">
        <v>134</v>
      </c>
      <c r="K140" s="4" t="s">
        <v>134</v>
      </c>
      <c r="L140" s="7" t="s">
        <v>135</v>
      </c>
      <c r="M140" s="11" t="str">
        <f t="shared" si="6"/>
        <v>—</v>
      </c>
      <c r="N140" s="1" t="str">
        <f t="shared" si="7"/>
        <v>006Rg00000a7zejIAA</v>
      </c>
    </row>
    <row r="141" spans="1:14" x14ac:dyDescent="0.4">
      <c r="A141" s="1">
        <v>4</v>
      </c>
      <c r="B141" s="1">
        <v>2</v>
      </c>
      <c r="C141" s="4" t="s">
        <v>150</v>
      </c>
      <c r="D141" s="1" t="s">
        <v>1</v>
      </c>
      <c r="E141" s="4"/>
      <c r="F141" s="4" t="s">
        <v>134</v>
      </c>
      <c r="G141" s="11" t="e">
        <f>_xlfn.XLOOKUP(M141,'Code Catagories'!A:A,'Code Catagories'!C:C)</f>
        <v>#N/A</v>
      </c>
      <c r="H141" s="4" t="s">
        <v>134</v>
      </c>
      <c r="I141" s="4" t="s">
        <v>134</v>
      </c>
      <c r="J141" s="4" t="s">
        <v>134</v>
      </c>
      <c r="K141" s="4" t="s">
        <v>134</v>
      </c>
      <c r="L141" s="7" t="s">
        <v>135</v>
      </c>
      <c r="M141" s="11" t="str">
        <f t="shared" si="6"/>
        <v>—</v>
      </c>
      <c r="N141" s="1" t="str">
        <f t="shared" si="7"/>
        <v>006Rg00000a7ZtxIAE</v>
      </c>
    </row>
    <row r="142" spans="1:14" x14ac:dyDescent="0.4">
      <c r="A142" s="1">
        <v>4</v>
      </c>
      <c r="B142" s="1">
        <v>2</v>
      </c>
      <c r="C142" s="4" t="s">
        <v>151</v>
      </c>
      <c r="D142" s="1" t="s">
        <v>1</v>
      </c>
      <c r="E142" s="4"/>
      <c r="F142" s="4" t="s">
        <v>134</v>
      </c>
      <c r="G142" s="11" t="e">
        <f>_xlfn.XLOOKUP(M142,'Code Catagories'!A:A,'Code Catagories'!C:C)</f>
        <v>#N/A</v>
      </c>
      <c r="H142" s="4" t="s">
        <v>134</v>
      </c>
      <c r="I142" s="4" t="s">
        <v>134</v>
      </c>
      <c r="J142" s="4" t="s">
        <v>134</v>
      </c>
      <c r="K142" s="4" t="s">
        <v>134</v>
      </c>
      <c r="L142" s="7" t="s">
        <v>135</v>
      </c>
      <c r="M142" s="11" t="str">
        <f t="shared" si="6"/>
        <v>—</v>
      </c>
      <c r="N142" s="1" t="str">
        <f t="shared" si="7"/>
        <v>006Rg00000a05e7IAA</v>
      </c>
    </row>
    <row r="143" spans="1:14" ht="29.15" x14ac:dyDescent="0.4">
      <c r="A143" s="1">
        <v>4</v>
      </c>
      <c r="B143" s="1">
        <v>2</v>
      </c>
      <c r="C143" s="4" t="s">
        <v>152</v>
      </c>
      <c r="D143" s="1" t="s">
        <v>1</v>
      </c>
      <c r="E143" s="4"/>
      <c r="F143" s="4" t="s">
        <v>153</v>
      </c>
      <c r="G143" s="11" t="str">
        <f>_xlfn.XLOOKUP(M143,'Code Catagories'!A:A,'Code Catagories'!C:C)</f>
        <v>4E. Availability / Serviceability</v>
      </c>
      <c r="H143" s="4" t="s">
        <v>138</v>
      </c>
      <c r="I143" s="4" t="s">
        <v>154</v>
      </c>
      <c r="J143" s="4" t="s">
        <v>147</v>
      </c>
      <c r="K143" s="4" t="s">
        <v>148</v>
      </c>
      <c r="L143" s="7" t="s">
        <v>263</v>
      </c>
      <c r="M143" s="11" t="str">
        <f t="shared" si="6"/>
        <v>4E</v>
      </c>
      <c r="N143" s="1" t="str">
        <f t="shared" si="7"/>
        <v>006Rg00000a89fiIAA</v>
      </c>
    </row>
    <row r="144" spans="1:14" ht="29.15" x14ac:dyDescent="0.4">
      <c r="A144" s="1">
        <v>4</v>
      </c>
      <c r="B144" s="1">
        <v>2</v>
      </c>
      <c r="C144" s="4" t="s">
        <v>155</v>
      </c>
      <c r="D144" s="1" t="s">
        <v>1</v>
      </c>
      <c r="E144" s="4"/>
      <c r="F144" s="4" t="s">
        <v>192</v>
      </c>
      <c r="G144" s="11" t="str">
        <f>_xlfn.XLOOKUP(M144,'Code Catagories'!A:A,'Code Catagories'!C:C)</f>
        <v>4D. Contract Mechanics</v>
      </c>
      <c r="H144" s="4" t="s">
        <v>138</v>
      </c>
      <c r="I144" s="4" t="s">
        <v>240</v>
      </c>
      <c r="J144" s="4" t="s">
        <v>147</v>
      </c>
      <c r="K144" s="4" t="s">
        <v>141</v>
      </c>
      <c r="L144" s="7" t="s">
        <v>264</v>
      </c>
      <c r="M144" s="11" t="str">
        <f t="shared" si="6"/>
        <v>4D</v>
      </c>
      <c r="N144" s="1" t="str">
        <f t="shared" si="7"/>
        <v>006Rg00000aA1FrIAK</v>
      </c>
    </row>
    <row r="145" spans="1:14" ht="29.15" x14ac:dyDescent="0.4">
      <c r="A145" s="1">
        <v>4</v>
      </c>
      <c r="B145" s="1">
        <v>2</v>
      </c>
      <c r="C145" s="4" t="s">
        <v>155</v>
      </c>
      <c r="D145" s="1" t="s">
        <v>1</v>
      </c>
      <c r="E145" s="4"/>
      <c r="F145" s="4" t="s">
        <v>166</v>
      </c>
      <c r="G145" s="11" t="str">
        <f>_xlfn.XLOOKUP(M145,'Code Catagories'!A:A,'Code Catagories'!C:C)</f>
        <v>4F. Promotion Ineligibility</v>
      </c>
      <c r="H145" s="4" t="s">
        <v>134</v>
      </c>
      <c r="I145" s="4" t="s">
        <v>265</v>
      </c>
      <c r="J145" s="4" t="s">
        <v>203</v>
      </c>
      <c r="K145" s="4" t="s">
        <v>148</v>
      </c>
      <c r="L145" s="7" t="s">
        <v>266</v>
      </c>
      <c r="M145" s="11" t="str">
        <f t="shared" si="6"/>
        <v>4F</v>
      </c>
      <c r="N145" s="1" t="str">
        <f t="shared" si="7"/>
        <v>006Rg00000aA1FrIAK</v>
      </c>
    </row>
    <row r="146" spans="1:14" ht="43.75" x14ac:dyDescent="0.4">
      <c r="A146" s="1">
        <v>4</v>
      </c>
      <c r="B146" s="1">
        <v>2</v>
      </c>
      <c r="C146" s="4" t="s">
        <v>156</v>
      </c>
      <c r="D146" s="1" t="s">
        <v>2</v>
      </c>
      <c r="E146" s="4"/>
      <c r="F146" s="4" t="s">
        <v>192</v>
      </c>
      <c r="G146" s="11" t="str">
        <f>_xlfn.XLOOKUP(M146,'Code Catagories'!A:A,'Code Catagories'!C:C)</f>
        <v>4D. Contract Mechanics</v>
      </c>
      <c r="H146" s="4" t="s">
        <v>134</v>
      </c>
      <c r="I146" s="4" t="s">
        <v>193</v>
      </c>
      <c r="J146" s="4" t="s">
        <v>203</v>
      </c>
      <c r="K146" s="4" t="s">
        <v>148</v>
      </c>
      <c r="L146" s="7" t="s">
        <v>267</v>
      </c>
      <c r="M146" s="11" t="str">
        <f t="shared" si="6"/>
        <v>4D</v>
      </c>
      <c r="N146" s="1" t="str">
        <f t="shared" si="7"/>
        <v>006Rg00000aA7TJIA0</v>
      </c>
    </row>
    <row r="147" spans="1:14" ht="29.15" x14ac:dyDescent="0.4">
      <c r="A147" s="1">
        <v>4</v>
      </c>
      <c r="B147" s="1">
        <v>2</v>
      </c>
      <c r="C147" s="4" t="s">
        <v>156</v>
      </c>
      <c r="D147" s="1" t="s">
        <v>2</v>
      </c>
      <c r="E147" s="4"/>
      <c r="F147" s="4" t="s">
        <v>137</v>
      </c>
      <c r="G147" s="11" t="str">
        <f>_xlfn.XLOOKUP(M147,'Code Catagories'!A:A,'Code Catagories'!C:C)</f>
        <v>4B. Ancillary Fees</v>
      </c>
      <c r="H147" s="4" t="s">
        <v>134</v>
      </c>
      <c r="I147" s="4" t="s">
        <v>268</v>
      </c>
      <c r="J147" s="4" t="s">
        <v>203</v>
      </c>
      <c r="K147" s="4" t="s">
        <v>141</v>
      </c>
      <c r="L147" s="7" t="s">
        <v>269</v>
      </c>
      <c r="M147" s="11" t="str">
        <f t="shared" si="6"/>
        <v>4B</v>
      </c>
      <c r="N147" s="1" t="str">
        <f t="shared" si="7"/>
        <v>006Rg00000aA7TJIA0</v>
      </c>
    </row>
    <row r="148" spans="1:14" x14ac:dyDescent="0.4">
      <c r="A148" s="1">
        <v>4</v>
      </c>
      <c r="B148" s="1">
        <v>2</v>
      </c>
      <c r="C148" s="4" t="s">
        <v>157</v>
      </c>
      <c r="D148" s="1" t="s">
        <v>1</v>
      </c>
      <c r="E148" s="4"/>
      <c r="F148" s="4" t="s">
        <v>134</v>
      </c>
      <c r="G148" s="11" t="e">
        <f>_xlfn.XLOOKUP(M148,'Code Catagories'!A:A,'Code Catagories'!C:C)</f>
        <v>#N/A</v>
      </c>
      <c r="H148" s="4" t="s">
        <v>134</v>
      </c>
      <c r="I148" s="4" t="s">
        <v>134</v>
      </c>
      <c r="J148" s="4" t="s">
        <v>134</v>
      </c>
      <c r="K148" s="4" t="s">
        <v>134</v>
      </c>
      <c r="L148" s="7" t="s">
        <v>135</v>
      </c>
      <c r="M148" s="11" t="str">
        <f t="shared" si="6"/>
        <v>—</v>
      </c>
      <c r="N148" s="1" t="str">
        <f t="shared" si="7"/>
        <v>006Rg00000aABQTIA4</v>
      </c>
    </row>
    <row r="149" spans="1:14" x14ac:dyDescent="0.4">
      <c r="A149" s="1">
        <v>4</v>
      </c>
      <c r="B149" s="1">
        <v>2</v>
      </c>
      <c r="C149" s="4" t="s">
        <v>158</v>
      </c>
      <c r="D149" s="1" t="s">
        <v>1</v>
      </c>
      <c r="E149" s="4"/>
      <c r="F149" s="4" t="s">
        <v>134</v>
      </c>
      <c r="G149" s="11" t="e">
        <f>_xlfn.XLOOKUP(M149,'Code Catagories'!A:A,'Code Catagories'!C:C)</f>
        <v>#N/A</v>
      </c>
      <c r="H149" s="4" t="s">
        <v>134</v>
      </c>
      <c r="I149" s="4" t="s">
        <v>134</v>
      </c>
      <c r="J149" s="4" t="s">
        <v>134</v>
      </c>
      <c r="K149" s="4" t="s">
        <v>134</v>
      </c>
      <c r="L149" s="7" t="s">
        <v>135</v>
      </c>
      <c r="M149" s="11" t="str">
        <f t="shared" si="6"/>
        <v>—</v>
      </c>
      <c r="N149" s="1" t="str">
        <f t="shared" si="7"/>
        <v>006Rg00000aAbsoIAC</v>
      </c>
    </row>
    <row r="150" spans="1:14" x14ac:dyDescent="0.4">
      <c r="A150" s="1">
        <v>4</v>
      </c>
      <c r="B150" s="1">
        <v>2</v>
      </c>
      <c r="C150" s="4" t="s">
        <v>159</v>
      </c>
      <c r="D150" s="1" t="s">
        <v>1</v>
      </c>
      <c r="E150" s="4"/>
      <c r="F150" s="4" t="s">
        <v>134</v>
      </c>
      <c r="G150" s="11" t="e">
        <f>_xlfn.XLOOKUP(M150,'Code Catagories'!A:A,'Code Catagories'!C:C)</f>
        <v>#N/A</v>
      </c>
      <c r="H150" s="4" t="s">
        <v>134</v>
      </c>
      <c r="I150" s="4" t="s">
        <v>134</v>
      </c>
      <c r="J150" s="4" t="s">
        <v>134</v>
      </c>
      <c r="K150" s="4" t="s">
        <v>134</v>
      </c>
      <c r="L150" s="7" t="s">
        <v>135</v>
      </c>
      <c r="M150" s="11" t="str">
        <f t="shared" si="6"/>
        <v>—</v>
      </c>
      <c r="N150" s="1" t="str">
        <f t="shared" si="7"/>
        <v>006Rg00000aAF5wIAG</v>
      </c>
    </row>
    <row r="151" spans="1:14" ht="29.15" x14ac:dyDescent="0.4">
      <c r="A151" s="1">
        <v>4</v>
      </c>
      <c r="B151" s="1">
        <v>2</v>
      </c>
      <c r="C151" s="4" t="s">
        <v>160</v>
      </c>
      <c r="D151" s="1" t="s">
        <v>2</v>
      </c>
      <c r="E151" s="4"/>
      <c r="F151" s="4" t="s">
        <v>192</v>
      </c>
      <c r="G151" s="11" t="str">
        <f>_xlfn.XLOOKUP(M151,'Code Catagories'!A:A,'Code Catagories'!C:C)</f>
        <v>4D. Contract Mechanics</v>
      </c>
      <c r="H151" s="4" t="s">
        <v>134</v>
      </c>
      <c r="I151" s="4" t="s">
        <v>193</v>
      </c>
      <c r="J151" s="4" t="s">
        <v>203</v>
      </c>
      <c r="K151" s="4" t="s">
        <v>148</v>
      </c>
      <c r="L151" s="7" t="s">
        <v>270</v>
      </c>
      <c r="M151" s="11" t="str">
        <f t="shared" si="6"/>
        <v>4D</v>
      </c>
      <c r="N151" s="1" t="str">
        <f t="shared" si="7"/>
        <v>006Rg00000aAkMdIAK</v>
      </c>
    </row>
    <row r="152" spans="1:14" x14ac:dyDescent="0.4">
      <c r="A152" s="1">
        <v>4</v>
      </c>
      <c r="B152" s="1">
        <v>2</v>
      </c>
      <c r="C152" s="4" t="s">
        <v>161</v>
      </c>
      <c r="D152" s="1" t="s">
        <v>2</v>
      </c>
      <c r="E152" s="4"/>
      <c r="F152" s="4" t="s">
        <v>134</v>
      </c>
      <c r="G152" s="11" t="e">
        <f>_xlfn.XLOOKUP(M152,'Code Catagories'!A:A,'Code Catagories'!C:C)</f>
        <v>#N/A</v>
      </c>
      <c r="H152" s="4" t="s">
        <v>134</v>
      </c>
      <c r="I152" s="4" t="s">
        <v>134</v>
      </c>
      <c r="J152" s="4" t="s">
        <v>134</v>
      </c>
      <c r="K152" s="4" t="s">
        <v>134</v>
      </c>
      <c r="L152" s="7" t="s">
        <v>135</v>
      </c>
      <c r="M152" s="11" t="str">
        <f t="shared" si="6"/>
        <v>—</v>
      </c>
      <c r="N152" s="1" t="str">
        <f t="shared" si="7"/>
        <v>006Rg00000aAtMgIAK</v>
      </c>
    </row>
    <row r="153" spans="1:14" ht="43.75" x14ac:dyDescent="0.4">
      <c r="A153" s="1">
        <v>4</v>
      </c>
      <c r="B153" s="1">
        <v>2</v>
      </c>
      <c r="C153" s="4" t="s">
        <v>162</v>
      </c>
      <c r="D153" s="1" t="s">
        <v>1</v>
      </c>
      <c r="E153" s="4"/>
      <c r="F153" s="4" t="s">
        <v>222</v>
      </c>
      <c r="G153" s="11" t="str">
        <f>_xlfn.XLOOKUP(M153,'Code Catagories'!A:A,'Code Catagories'!C:C)</f>
        <v>4C. Commercial Model</v>
      </c>
      <c r="H153" s="4" t="s">
        <v>138</v>
      </c>
      <c r="I153" s="4" t="s">
        <v>223</v>
      </c>
      <c r="J153" s="4" t="s">
        <v>140</v>
      </c>
      <c r="K153" s="4" t="s">
        <v>141</v>
      </c>
      <c r="L153" s="7" t="s">
        <v>271</v>
      </c>
      <c r="M153" s="11" t="str">
        <f t="shared" si="6"/>
        <v>4C</v>
      </c>
      <c r="N153" s="1" t="str">
        <f t="shared" si="7"/>
        <v>006Rg00000aAyfkIAC</v>
      </c>
    </row>
    <row r="154" spans="1:14" ht="29.15" x14ac:dyDescent="0.4">
      <c r="A154" s="1">
        <v>4</v>
      </c>
      <c r="B154" s="1">
        <v>2</v>
      </c>
      <c r="C154" s="4" t="s">
        <v>162</v>
      </c>
      <c r="D154" s="1" t="s">
        <v>1</v>
      </c>
      <c r="E154" s="4"/>
      <c r="F154" s="4" t="s">
        <v>166</v>
      </c>
      <c r="G154" s="11" t="str">
        <f>_xlfn.XLOOKUP(M154,'Code Catagories'!A:A,'Code Catagories'!C:C)</f>
        <v>4F. Promotion Ineligibility</v>
      </c>
      <c r="H154" s="4" t="s">
        <v>134</v>
      </c>
      <c r="I154" s="4" t="s">
        <v>167</v>
      </c>
      <c r="J154" s="4" t="s">
        <v>203</v>
      </c>
      <c r="K154" s="4" t="s">
        <v>148</v>
      </c>
      <c r="L154" s="7" t="s">
        <v>272</v>
      </c>
      <c r="M154" s="11" t="str">
        <f t="shared" si="6"/>
        <v>4F</v>
      </c>
      <c r="N154" s="1" t="str">
        <f t="shared" si="7"/>
        <v>006Rg00000aAyfkIAC</v>
      </c>
    </row>
    <row r="155" spans="1:14" x14ac:dyDescent="0.4">
      <c r="A155" s="1">
        <v>4</v>
      </c>
      <c r="B155" s="1">
        <v>2</v>
      </c>
      <c r="C155" s="4" t="s">
        <v>163</v>
      </c>
      <c r="D155" s="1" t="s">
        <v>2</v>
      </c>
      <c r="E155" s="4"/>
      <c r="F155" s="4" t="s">
        <v>134</v>
      </c>
      <c r="G155" s="11" t="e">
        <f>_xlfn.XLOOKUP(M155,'Code Catagories'!A:A,'Code Catagories'!C:C)</f>
        <v>#N/A</v>
      </c>
      <c r="H155" s="4" t="s">
        <v>134</v>
      </c>
      <c r="I155" s="4" t="s">
        <v>134</v>
      </c>
      <c r="J155" s="4" t="s">
        <v>134</v>
      </c>
      <c r="K155" s="4" t="s">
        <v>134</v>
      </c>
      <c r="L155" s="7" t="s">
        <v>135</v>
      </c>
      <c r="M155" s="11" t="str">
        <f t="shared" si="6"/>
        <v>—</v>
      </c>
      <c r="N155" s="1" t="str">
        <f t="shared" si="7"/>
        <v>006Rg00000aBAvRIAW</v>
      </c>
    </row>
    <row r="156" spans="1:14" x14ac:dyDescent="0.4">
      <c r="A156" s="1">
        <v>4</v>
      </c>
      <c r="B156" s="1">
        <v>2</v>
      </c>
      <c r="C156" s="4" t="s">
        <v>164</v>
      </c>
      <c r="D156" s="1" t="s">
        <v>2</v>
      </c>
      <c r="E156" s="4"/>
      <c r="F156" s="4" t="s">
        <v>134</v>
      </c>
      <c r="G156" s="11" t="e">
        <f>_xlfn.XLOOKUP(M156,'Code Catagories'!A:A,'Code Catagories'!C:C)</f>
        <v>#N/A</v>
      </c>
      <c r="H156" s="4" t="s">
        <v>134</v>
      </c>
      <c r="I156" s="4" t="s">
        <v>134</v>
      </c>
      <c r="J156" s="4" t="s">
        <v>134</v>
      </c>
      <c r="K156" s="4" t="s">
        <v>134</v>
      </c>
      <c r="L156" s="7" t="s">
        <v>135</v>
      </c>
      <c r="M156" s="11" t="str">
        <f t="shared" si="6"/>
        <v>—</v>
      </c>
      <c r="N156" s="1" t="str">
        <f t="shared" si="7"/>
        <v>006Rg00000aBfSvIAK</v>
      </c>
    </row>
    <row r="157" spans="1:14" x14ac:dyDescent="0.4">
      <c r="A157" s="1">
        <v>4</v>
      </c>
      <c r="B157" s="1">
        <v>2</v>
      </c>
      <c r="C157" s="4" t="s">
        <v>165</v>
      </c>
      <c r="D157" s="1" t="s">
        <v>2</v>
      </c>
      <c r="E157" s="4"/>
      <c r="F157" s="4" t="s">
        <v>134</v>
      </c>
      <c r="G157" s="11" t="e">
        <f>_xlfn.XLOOKUP(M157,'Code Catagories'!A:A,'Code Catagories'!C:C)</f>
        <v>#N/A</v>
      </c>
      <c r="H157" s="4" t="s">
        <v>134</v>
      </c>
      <c r="I157" s="4" t="s">
        <v>134</v>
      </c>
      <c r="J157" s="4" t="s">
        <v>134</v>
      </c>
      <c r="K157" s="4" t="s">
        <v>134</v>
      </c>
      <c r="L157" s="7" t="s">
        <v>135</v>
      </c>
      <c r="M157" s="11" t="str">
        <f t="shared" si="6"/>
        <v>—</v>
      </c>
      <c r="N157" s="1" t="str">
        <f t="shared" si="7"/>
        <v>006Rg00000aBomOIAS</v>
      </c>
    </row>
    <row r="158" spans="1:14" x14ac:dyDescent="0.4">
      <c r="A158" s="1">
        <v>4</v>
      </c>
      <c r="B158" s="1">
        <v>2</v>
      </c>
      <c r="C158" s="4" t="s">
        <v>161</v>
      </c>
      <c r="D158" s="1" t="s">
        <v>2</v>
      </c>
      <c r="E158" s="4"/>
      <c r="F158" s="4" t="s">
        <v>134</v>
      </c>
      <c r="G158" s="11" t="e">
        <f>_xlfn.XLOOKUP(M158,'Code Catagories'!A:A,'Code Catagories'!C:C)</f>
        <v>#N/A</v>
      </c>
      <c r="H158" s="4" t="s">
        <v>134</v>
      </c>
      <c r="I158" s="4" t="s">
        <v>134</v>
      </c>
      <c r="J158" s="4" t="s">
        <v>134</v>
      </c>
      <c r="K158" s="4" t="s">
        <v>134</v>
      </c>
      <c r="L158" s="7" t="s">
        <v>135</v>
      </c>
      <c r="M158" s="11" t="str">
        <f t="shared" si="6"/>
        <v>—</v>
      </c>
      <c r="N158" s="1" t="str">
        <f t="shared" si="7"/>
        <v>006Rg00000aAtMgIAK</v>
      </c>
    </row>
    <row r="159" spans="1:14" ht="43.75" x14ac:dyDescent="0.4">
      <c r="A159" s="1">
        <v>4</v>
      </c>
      <c r="B159" s="1">
        <v>2</v>
      </c>
      <c r="C159" s="4" t="s">
        <v>162</v>
      </c>
      <c r="D159" s="1" t="s">
        <v>1</v>
      </c>
      <c r="E159" s="4"/>
      <c r="F159" s="4" t="s">
        <v>222</v>
      </c>
      <c r="G159" s="11" t="str">
        <f>_xlfn.XLOOKUP(M159,'Code Catagories'!A:A,'Code Catagories'!C:C)</f>
        <v>4C. Commercial Model</v>
      </c>
      <c r="H159" s="4" t="s">
        <v>138</v>
      </c>
      <c r="I159" s="4" t="s">
        <v>223</v>
      </c>
      <c r="J159" s="4" t="s">
        <v>140</v>
      </c>
      <c r="K159" s="4" t="s">
        <v>141</v>
      </c>
      <c r="L159" s="7" t="s">
        <v>271</v>
      </c>
      <c r="M159" s="11" t="str">
        <f t="shared" si="6"/>
        <v>4C</v>
      </c>
      <c r="N159" s="1" t="str">
        <f t="shared" si="7"/>
        <v>006Rg00000aAyfkIAC</v>
      </c>
    </row>
    <row r="160" spans="1:14" ht="29.15" x14ac:dyDescent="0.4">
      <c r="A160" s="1">
        <v>4</v>
      </c>
      <c r="B160" s="1">
        <v>2</v>
      </c>
      <c r="C160" s="4" t="s">
        <v>162</v>
      </c>
      <c r="D160" s="1" t="s">
        <v>1</v>
      </c>
      <c r="E160" s="4"/>
      <c r="F160" s="4" t="s">
        <v>166</v>
      </c>
      <c r="G160" s="11" t="str">
        <f>_xlfn.XLOOKUP(M160,'Code Catagories'!A:A,'Code Catagories'!C:C)</f>
        <v>4F. Promotion Ineligibility</v>
      </c>
      <c r="H160" s="4" t="s">
        <v>134</v>
      </c>
      <c r="I160" s="4" t="s">
        <v>167</v>
      </c>
      <c r="J160" s="4" t="s">
        <v>203</v>
      </c>
      <c r="K160" s="4" t="s">
        <v>148</v>
      </c>
      <c r="L160" s="7" t="s">
        <v>272</v>
      </c>
      <c r="M160" s="11" t="str">
        <f t="shared" si="6"/>
        <v>4F</v>
      </c>
      <c r="N160" s="1" t="str">
        <f t="shared" si="7"/>
        <v>006Rg00000aAyfkIAC</v>
      </c>
    </row>
    <row r="161" spans="1:14" x14ac:dyDescent="0.4">
      <c r="A161" s="1">
        <v>4</v>
      </c>
      <c r="B161" s="1">
        <v>2</v>
      </c>
      <c r="C161" s="4" t="s">
        <v>163</v>
      </c>
      <c r="D161" s="1" t="s">
        <v>2</v>
      </c>
      <c r="E161" s="4"/>
      <c r="F161" s="4" t="s">
        <v>134</v>
      </c>
      <c r="G161" s="11" t="e">
        <f>_xlfn.XLOOKUP(M161,'Code Catagories'!A:A,'Code Catagories'!C:C)</f>
        <v>#N/A</v>
      </c>
      <c r="H161" s="4" t="s">
        <v>134</v>
      </c>
      <c r="I161" s="4" t="s">
        <v>134</v>
      </c>
      <c r="J161" s="4" t="s">
        <v>134</v>
      </c>
      <c r="K161" s="4" t="s">
        <v>134</v>
      </c>
      <c r="L161" s="7" t="s">
        <v>135</v>
      </c>
      <c r="M161" s="11" t="str">
        <f t="shared" si="6"/>
        <v>—</v>
      </c>
      <c r="N161" s="1" t="str">
        <f t="shared" si="7"/>
        <v>006Rg00000aBAvRIAW</v>
      </c>
    </row>
    <row r="162" spans="1:14" x14ac:dyDescent="0.4">
      <c r="A162" s="1">
        <v>4</v>
      </c>
      <c r="B162" s="1">
        <v>2</v>
      </c>
      <c r="C162" s="4" t="s">
        <v>164</v>
      </c>
      <c r="D162" s="1" t="s">
        <v>2</v>
      </c>
      <c r="E162" s="4"/>
      <c r="F162" s="4" t="s">
        <v>134</v>
      </c>
      <c r="G162" s="11" t="e">
        <f>_xlfn.XLOOKUP(M162,'Code Catagories'!A:A,'Code Catagories'!C:C)</f>
        <v>#N/A</v>
      </c>
      <c r="H162" s="4" t="s">
        <v>134</v>
      </c>
      <c r="I162" s="4" t="s">
        <v>134</v>
      </c>
      <c r="J162" s="4" t="s">
        <v>134</v>
      </c>
      <c r="K162" s="4" t="s">
        <v>134</v>
      </c>
      <c r="L162" s="7" t="s">
        <v>135</v>
      </c>
      <c r="M162" s="11" t="str">
        <f t="shared" si="6"/>
        <v>—</v>
      </c>
      <c r="N162" s="1" t="str">
        <f t="shared" ref="N162:N180" si="8">TRIM(C162)</f>
        <v>006Rg00000aBfSvIAK</v>
      </c>
    </row>
    <row r="163" spans="1:14" x14ac:dyDescent="0.4">
      <c r="A163" s="1">
        <v>4</v>
      </c>
      <c r="B163" s="1">
        <v>2</v>
      </c>
      <c r="C163" s="4" t="s">
        <v>165</v>
      </c>
      <c r="D163" s="1" t="s">
        <v>2</v>
      </c>
      <c r="E163" s="4"/>
      <c r="F163" s="4" t="s">
        <v>134</v>
      </c>
      <c r="G163" s="11" t="e">
        <f>_xlfn.XLOOKUP(M163,'Code Catagories'!A:A,'Code Catagories'!C:C)</f>
        <v>#N/A</v>
      </c>
      <c r="H163" s="4" t="s">
        <v>134</v>
      </c>
      <c r="I163" s="4" t="s">
        <v>134</v>
      </c>
      <c r="J163" s="4" t="s">
        <v>134</v>
      </c>
      <c r="K163" s="4" t="s">
        <v>134</v>
      </c>
      <c r="L163" s="7" t="s">
        <v>135</v>
      </c>
      <c r="M163" s="11" t="str">
        <f t="shared" si="6"/>
        <v>—</v>
      </c>
      <c r="N163" s="1" t="str">
        <f t="shared" si="8"/>
        <v>006Rg00000aBomOIAS</v>
      </c>
    </row>
    <row r="164" spans="1:14" x14ac:dyDescent="0.4">
      <c r="A164" s="1">
        <v>4</v>
      </c>
      <c r="B164" s="1">
        <v>2</v>
      </c>
      <c r="C164" s="4" t="s">
        <v>168</v>
      </c>
      <c r="D164" s="1" t="s">
        <v>2</v>
      </c>
      <c r="E164" s="4"/>
      <c r="F164" s="4" t="s">
        <v>134</v>
      </c>
      <c r="G164" s="11" t="e">
        <f>_xlfn.XLOOKUP(M164,'Code Catagories'!A:A,'Code Catagories'!C:C)</f>
        <v>#N/A</v>
      </c>
      <c r="H164" s="4" t="s">
        <v>134</v>
      </c>
      <c r="I164" s="4" t="s">
        <v>134</v>
      </c>
      <c r="J164" s="4" t="s">
        <v>134</v>
      </c>
      <c r="K164" s="4" t="s">
        <v>134</v>
      </c>
      <c r="L164" s="7" t="s">
        <v>135</v>
      </c>
      <c r="M164" s="11" t="str">
        <f t="shared" si="6"/>
        <v>—</v>
      </c>
      <c r="N164" s="1" t="str">
        <f t="shared" si="8"/>
        <v>006Rg00000adbuDIAQ</v>
      </c>
    </row>
    <row r="165" spans="1:14" x14ac:dyDescent="0.4">
      <c r="A165" s="1">
        <v>4</v>
      </c>
      <c r="B165" s="1">
        <v>2</v>
      </c>
      <c r="C165" s="4" t="s">
        <v>169</v>
      </c>
      <c r="D165" s="1" t="s">
        <v>1</v>
      </c>
      <c r="E165" s="4"/>
      <c r="F165" s="4" t="s">
        <v>134</v>
      </c>
      <c r="G165" s="11" t="e">
        <f>_xlfn.XLOOKUP(M165,'Code Catagories'!A:A,'Code Catagories'!C:C)</f>
        <v>#N/A</v>
      </c>
      <c r="H165" s="4" t="s">
        <v>134</v>
      </c>
      <c r="I165" s="4" t="s">
        <v>134</v>
      </c>
      <c r="J165" s="4" t="s">
        <v>134</v>
      </c>
      <c r="K165" s="4" t="s">
        <v>134</v>
      </c>
      <c r="L165" s="7" t="s">
        <v>135</v>
      </c>
      <c r="M165" s="11" t="str">
        <f t="shared" si="6"/>
        <v>—</v>
      </c>
      <c r="N165" s="1" t="str">
        <f t="shared" si="8"/>
        <v>006Rg00000adduRIAQ</v>
      </c>
    </row>
    <row r="166" spans="1:14" x14ac:dyDescent="0.4">
      <c r="A166" s="1">
        <v>4</v>
      </c>
      <c r="B166" s="1">
        <v>2</v>
      </c>
      <c r="C166" s="4" t="s">
        <v>170</v>
      </c>
      <c r="D166" s="1" t="s">
        <v>2</v>
      </c>
      <c r="E166" s="4"/>
      <c r="F166" s="4" t="s">
        <v>134</v>
      </c>
      <c r="G166" s="11" t="e">
        <f>_xlfn.XLOOKUP(M166,'Code Catagories'!A:A,'Code Catagories'!C:C)</f>
        <v>#N/A</v>
      </c>
      <c r="H166" s="4" t="s">
        <v>134</v>
      </c>
      <c r="I166" s="4" t="s">
        <v>134</v>
      </c>
      <c r="J166" s="4" t="s">
        <v>134</v>
      </c>
      <c r="K166" s="4" t="s">
        <v>134</v>
      </c>
      <c r="L166" s="7" t="s">
        <v>135</v>
      </c>
      <c r="M166" s="11" t="str">
        <f t="shared" si="6"/>
        <v>—</v>
      </c>
      <c r="N166" s="1" t="str">
        <f t="shared" si="8"/>
        <v>006Rg00000adf1lIAA</v>
      </c>
    </row>
    <row r="167" spans="1:14" x14ac:dyDescent="0.4">
      <c r="A167" s="1">
        <v>4</v>
      </c>
      <c r="B167" s="1">
        <v>2</v>
      </c>
      <c r="C167" s="4" t="s">
        <v>171</v>
      </c>
      <c r="D167" s="1" t="s">
        <v>2</v>
      </c>
      <c r="E167" s="4"/>
      <c r="F167" s="4" t="s">
        <v>134</v>
      </c>
      <c r="G167" s="11" t="e">
        <f>_xlfn.XLOOKUP(M167,'Code Catagories'!A:A,'Code Catagories'!C:C)</f>
        <v>#N/A</v>
      </c>
      <c r="H167" s="4" t="s">
        <v>134</v>
      </c>
      <c r="I167" s="4" t="s">
        <v>134</v>
      </c>
      <c r="J167" s="4" t="s">
        <v>134</v>
      </c>
      <c r="K167" s="4" t="s">
        <v>134</v>
      </c>
      <c r="L167" s="7" t="s">
        <v>135</v>
      </c>
      <c r="M167" s="11" t="str">
        <f t="shared" si="6"/>
        <v>—</v>
      </c>
      <c r="N167" s="1" t="str">
        <f t="shared" si="8"/>
        <v>006Rg00000adf6dIAA</v>
      </c>
    </row>
    <row r="168" spans="1:14" ht="29.15" x14ac:dyDescent="0.4">
      <c r="A168" s="1">
        <v>4</v>
      </c>
      <c r="B168" s="1">
        <v>2</v>
      </c>
      <c r="C168" s="4" t="s">
        <v>172</v>
      </c>
      <c r="D168" s="1" t="s">
        <v>2</v>
      </c>
      <c r="E168" s="4"/>
      <c r="F168" s="4" t="s">
        <v>153</v>
      </c>
      <c r="G168" s="11" t="str">
        <f>_xlfn.XLOOKUP(M168,'Code Catagories'!A:A,'Code Catagories'!C:C)</f>
        <v>4E. Availability / Serviceability</v>
      </c>
      <c r="H168" s="4" t="s">
        <v>138</v>
      </c>
      <c r="I168" s="4" t="s">
        <v>175</v>
      </c>
      <c r="J168" s="4" t="s">
        <v>140</v>
      </c>
      <c r="K168" s="4" t="s">
        <v>141</v>
      </c>
      <c r="L168" s="7" t="s">
        <v>273</v>
      </c>
      <c r="M168" s="11" t="str">
        <f t="shared" si="6"/>
        <v>4E</v>
      </c>
      <c r="N168" s="1" t="str">
        <f t="shared" si="8"/>
        <v>006Rg00000adoZiIAI</v>
      </c>
    </row>
    <row r="169" spans="1:14" ht="29.15" x14ac:dyDescent="0.4">
      <c r="A169" s="1">
        <v>4</v>
      </c>
      <c r="B169" s="1">
        <v>2</v>
      </c>
      <c r="C169" s="4" t="s">
        <v>172</v>
      </c>
      <c r="D169" s="1" t="s">
        <v>2</v>
      </c>
      <c r="E169" s="4"/>
      <c r="F169" s="4" t="s">
        <v>222</v>
      </c>
      <c r="G169" s="11" t="str">
        <f>_xlfn.XLOOKUP(M169,'Code Catagories'!A:A,'Code Catagories'!C:C)</f>
        <v>4C. Commercial Model</v>
      </c>
      <c r="H169" s="4" t="s">
        <v>134</v>
      </c>
      <c r="I169" s="4" t="s">
        <v>239</v>
      </c>
      <c r="J169" s="4" t="s">
        <v>203</v>
      </c>
      <c r="K169" s="4" t="s">
        <v>141</v>
      </c>
      <c r="L169" s="7" t="s">
        <v>274</v>
      </c>
      <c r="M169" s="11" t="str">
        <f t="shared" si="6"/>
        <v>4C</v>
      </c>
      <c r="N169" s="1" t="str">
        <f t="shared" si="8"/>
        <v>006Rg00000adoZiIAI</v>
      </c>
    </row>
    <row r="170" spans="1:14" ht="29.15" x14ac:dyDescent="0.4">
      <c r="A170" s="1">
        <v>4</v>
      </c>
      <c r="B170" s="1">
        <v>2</v>
      </c>
      <c r="C170" s="4" t="s">
        <v>172</v>
      </c>
      <c r="D170" s="1" t="s">
        <v>2</v>
      </c>
      <c r="E170" s="4"/>
      <c r="F170" s="4" t="s">
        <v>166</v>
      </c>
      <c r="G170" s="11" t="str">
        <f>_xlfn.XLOOKUP(M170,'Code Catagories'!A:A,'Code Catagories'!C:C)</f>
        <v>4F. Promotion Ineligibility</v>
      </c>
      <c r="H170" s="4" t="s">
        <v>134</v>
      </c>
      <c r="I170" s="4" t="s">
        <v>275</v>
      </c>
      <c r="J170" s="4" t="s">
        <v>203</v>
      </c>
      <c r="K170" s="4" t="s">
        <v>141</v>
      </c>
      <c r="L170" s="7" t="s">
        <v>276</v>
      </c>
      <c r="M170" s="11" t="str">
        <f t="shared" si="6"/>
        <v>4F</v>
      </c>
      <c r="N170" s="1" t="str">
        <f t="shared" si="8"/>
        <v>006Rg00000adoZiIAI</v>
      </c>
    </row>
    <row r="171" spans="1:14" x14ac:dyDescent="0.4">
      <c r="A171" s="1">
        <v>4</v>
      </c>
      <c r="B171" s="1">
        <v>3</v>
      </c>
      <c r="C171" s="4" t="s">
        <v>173</v>
      </c>
      <c r="D171" s="1" t="s">
        <v>1</v>
      </c>
      <c r="E171" s="4"/>
      <c r="F171" s="4" t="s">
        <v>134</v>
      </c>
      <c r="G171" s="11" t="e">
        <f>_xlfn.XLOOKUP(M171,'Code Catagories'!A:A,'Code Catagories'!C:C)</f>
        <v>#N/A</v>
      </c>
      <c r="H171" s="4" t="s">
        <v>134</v>
      </c>
      <c r="I171" s="4" t="s">
        <v>134</v>
      </c>
      <c r="J171" s="4" t="s">
        <v>134</v>
      </c>
      <c r="K171" s="4" t="s">
        <v>134</v>
      </c>
      <c r="L171" s="7" t="s">
        <v>135</v>
      </c>
      <c r="M171" s="11" t="str">
        <f t="shared" si="6"/>
        <v>—</v>
      </c>
      <c r="N171" s="1" t="str">
        <f t="shared" si="8"/>
        <v>006Rg00000aDtmjIAC</v>
      </c>
    </row>
    <row r="172" spans="1:14" ht="43.75" x14ac:dyDescent="0.4">
      <c r="A172" s="1">
        <v>4</v>
      </c>
      <c r="B172" s="1">
        <v>3</v>
      </c>
      <c r="C172" s="4" t="s">
        <v>174</v>
      </c>
      <c r="D172" s="1" t="s">
        <v>1</v>
      </c>
      <c r="E172" s="4"/>
      <c r="F172" s="4" t="s">
        <v>153</v>
      </c>
      <c r="G172" s="11" t="str">
        <f>_xlfn.XLOOKUP(M172,'Code Catagories'!A:A,'Code Catagories'!C:C)</f>
        <v>4E. Availability / Serviceability</v>
      </c>
      <c r="H172" s="4" t="s">
        <v>138</v>
      </c>
      <c r="I172" s="4" t="s">
        <v>175</v>
      </c>
      <c r="J172" s="4" t="s">
        <v>140</v>
      </c>
      <c r="K172" s="4" t="s">
        <v>141</v>
      </c>
      <c r="L172" s="7" t="s">
        <v>277</v>
      </c>
      <c r="M172" s="11" t="str">
        <f t="shared" si="6"/>
        <v>4E</v>
      </c>
      <c r="N172" s="1" t="str">
        <f t="shared" si="8"/>
        <v>006Rg00000adXk9IAE</v>
      </c>
    </row>
    <row r="173" spans="1:14" ht="29.15" x14ac:dyDescent="0.4">
      <c r="A173" s="1">
        <v>4</v>
      </c>
      <c r="B173" s="1">
        <v>3</v>
      </c>
      <c r="C173" s="4" t="s">
        <v>174</v>
      </c>
      <c r="D173" s="1" t="s">
        <v>1</v>
      </c>
      <c r="E173" s="4"/>
      <c r="F173" s="4" t="s">
        <v>222</v>
      </c>
      <c r="G173" s="11" t="str">
        <f>_xlfn.XLOOKUP(M173,'Code Catagories'!A:A,'Code Catagories'!C:C)</f>
        <v>4C. Commercial Model</v>
      </c>
      <c r="H173" s="4" t="s">
        <v>134</v>
      </c>
      <c r="I173" s="4" t="s">
        <v>239</v>
      </c>
      <c r="J173" s="4" t="s">
        <v>203</v>
      </c>
      <c r="K173" s="4" t="s">
        <v>141</v>
      </c>
      <c r="L173" s="7" t="s">
        <v>278</v>
      </c>
      <c r="M173" s="11" t="str">
        <f t="shared" si="6"/>
        <v>4C</v>
      </c>
      <c r="N173" s="1" t="str">
        <f t="shared" si="8"/>
        <v>006Rg00000adXk9IAE</v>
      </c>
    </row>
    <row r="174" spans="1:14" ht="29.15" x14ac:dyDescent="0.4">
      <c r="A174" s="1">
        <v>4</v>
      </c>
      <c r="B174" s="1">
        <v>3</v>
      </c>
      <c r="C174" s="4" t="s">
        <v>174</v>
      </c>
      <c r="D174" s="1" t="s">
        <v>1</v>
      </c>
      <c r="E174" s="4"/>
      <c r="F174" s="4" t="s">
        <v>222</v>
      </c>
      <c r="G174" s="11" t="str">
        <f>_xlfn.XLOOKUP(M174,'Code Catagories'!A:A,'Code Catagories'!C:C)</f>
        <v>4C. Commercial Model</v>
      </c>
      <c r="H174" s="4" t="s">
        <v>134</v>
      </c>
      <c r="I174" s="4" t="s">
        <v>279</v>
      </c>
      <c r="J174" s="4" t="s">
        <v>203</v>
      </c>
      <c r="K174" s="4" t="s">
        <v>141</v>
      </c>
      <c r="L174" s="7" t="s">
        <v>280</v>
      </c>
      <c r="M174" s="11" t="str">
        <f t="shared" si="6"/>
        <v>4C</v>
      </c>
      <c r="N174" s="1" t="str">
        <f t="shared" si="8"/>
        <v>006Rg00000adXk9IAE</v>
      </c>
    </row>
    <row r="175" spans="1:14" ht="29.15" x14ac:dyDescent="0.4">
      <c r="A175" s="1">
        <v>4</v>
      </c>
      <c r="B175" s="1">
        <v>3</v>
      </c>
      <c r="C175" s="4" t="s">
        <v>174</v>
      </c>
      <c r="D175" s="1" t="s">
        <v>1</v>
      </c>
      <c r="E175" s="4"/>
      <c r="F175" s="4" t="s">
        <v>166</v>
      </c>
      <c r="G175" s="11" t="str">
        <f>_xlfn.XLOOKUP(M175,'Code Catagories'!A:A,'Code Catagories'!C:C)</f>
        <v>4F. Promotion Ineligibility</v>
      </c>
      <c r="H175" s="4" t="s">
        <v>134</v>
      </c>
      <c r="I175" s="4" t="s">
        <v>275</v>
      </c>
      <c r="J175" s="4" t="s">
        <v>203</v>
      </c>
      <c r="K175" s="4" t="s">
        <v>141</v>
      </c>
      <c r="L175" s="7" t="s">
        <v>281</v>
      </c>
      <c r="M175" s="11" t="str">
        <f t="shared" si="6"/>
        <v>4F</v>
      </c>
      <c r="N175" s="1" t="str">
        <f t="shared" si="8"/>
        <v>006Rg00000adXk9IAE</v>
      </c>
    </row>
    <row r="176" spans="1:14" x14ac:dyDescent="0.4">
      <c r="A176" s="1">
        <v>4</v>
      </c>
      <c r="B176" s="1">
        <v>3</v>
      </c>
      <c r="C176" s="4" t="s">
        <v>176</v>
      </c>
      <c r="D176" s="1" t="s">
        <v>1</v>
      </c>
      <c r="E176" s="4"/>
      <c r="F176" s="4" t="s">
        <v>134</v>
      </c>
      <c r="G176" s="11" t="e">
        <f>_xlfn.XLOOKUP(M176,'Code Catagories'!A:A,'Code Catagories'!C:C)</f>
        <v>#N/A</v>
      </c>
      <c r="H176" s="4" t="s">
        <v>134</v>
      </c>
      <c r="I176" s="4" t="s">
        <v>134</v>
      </c>
      <c r="J176" s="4" t="s">
        <v>134</v>
      </c>
      <c r="K176" s="4" t="s">
        <v>134</v>
      </c>
      <c r="L176" s="7" t="s">
        <v>135</v>
      </c>
      <c r="M176" s="11" t="str">
        <f t="shared" si="6"/>
        <v>—</v>
      </c>
      <c r="N176" s="1" t="str">
        <f t="shared" si="8"/>
        <v>006Rg00000aDXmHIAW</v>
      </c>
    </row>
    <row r="177" spans="1:14" ht="29.15" x14ac:dyDescent="0.4">
      <c r="A177" s="1">
        <v>4</v>
      </c>
      <c r="B177" s="1">
        <v>3</v>
      </c>
      <c r="C177" s="4" t="s">
        <v>177</v>
      </c>
      <c r="D177" s="1" t="s">
        <v>2</v>
      </c>
      <c r="E177" s="4"/>
      <c r="F177" s="4" t="s">
        <v>137</v>
      </c>
      <c r="G177" s="11" t="str">
        <f>_xlfn.XLOOKUP(M177,'Code Catagories'!A:A,'Code Catagories'!C:C)</f>
        <v>4B. Ancillary Fees</v>
      </c>
      <c r="H177" s="4" t="s">
        <v>134</v>
      </c>
      <c r="I177" s="4" t="s">
        <v>139</v>
      </c>
      <c r="J177" s="4" t="s">
        <v>203</v>
      </c>
      <c r="K177" s="4" t="s">
        <v>141</v>
      </c>
      <c r="L177" s="7" t="s">
        <v>282</v>
      </c>
      <c r="M177" s="11" t="str">
        <f t="shared" si="6"/>
        <v>4B</v>
      </c>
      <c r="N177" s="1" t="str">
        <f t="shared" si="8"/>
        <v>006Rg00000adZafIAE</v>
      </c>
    </row>
    <row r="178" spans="1:14" ht="29.15" x14ac:dyDescent="0.4">
      <c r="A178" s="1">
        <v>4</v>
      </c>
      <c r="B178" s="1">
        <v>3</v>
      </c>
      <c r="C178" s="4" t="s">
        <v>177</v>
      </c>
      <c r="D178" s="1" t="s">
        <v>2</v>
      </c>
      <c r="E178" s="4"/>
      <c r="F178" s="4" t="s">
        <v>192</v>
      </c>
      <c r="G178" s="11" t="str">
        <f>_xlfn.XLOOKUP(M178,'Code Catagories'!A:A,'Code Catagories'!C:C)</f>
        <v>4D. Contract Mechanics</v>
      </c>
      <c r="H178" s="4" t="s">
        <v>134</v>
      </c>
      <c r="I178" s="4" t="s">
        <v>193</v>
      </c>
      <c r="J178" s="4" t="s">
        <v>224</v>
      </c>
      <c r="K178" s="4" t="s">
        <v>141</v>
      </c>
      <c r="L178" s="7" t="s">
        <v>283</v>
      </c>
      <c r="M178" s="11" t="str">
        <f t="shared" si="6"/>
        <v>4D</v>
      </c>
      <c r="N178" s="1" t="str">
        <f t="shared" si="8"/>
        <v>006Rg00000adZafIAE</v>
      </c>
    </row>
    <row r="179" spans="1:14" x14ac:dyDescent="0.4">
      <c r="A179" s="1">
        <v>4</v>
      </c>
      <c r="B179" s="1">
        <v>3</v>
      </c>
      <c r="C179" s="4" t="s">
        <v>178</v>
      </c>
      <c r="D179" s="1" t="s">
        <v>1</v>
      </c>
      <c r="E179" s="4"/>
      <c r="F179" s="4" t="s">
        <v>134</v>
      </c>
      <c r="G179" s="11" t="e">
        <f>_xlfn.XLOOKUP(M179,'Code Catagories'!A:A,'Code Catagories'!C:C)</f>
        <v>#N/A</v>
      </c>
      <c r="H179" s="4" t="s">
        <v>134</v>
      </c>
      <c r="I179" s="4" t="s">
        <v>134</v>
      </c>
      <c r="J179" s="4" t="s">
        <v>134</v>
      </c>
      <c r="K179" s="4" t="s">
        <v>134</v>
      </c>
      <c r="L179" s="7" t="s">
        <v>135</v>
      </c>
      <c r="M179" s="11" t="str">
        <f t="shared" si="6"/>
        <v>—</v>
      </c>
      <c r="N179" s="1" t="str">
        <f t="shared" si="8"/>
        <v>006Rg00000ae7jBIAQ</v>
      </c>
    </row>
    <row r="180" spans="1:14" ht="29.15" x14ac:dyDescent="0.4">
      <c r="A180" s="1">
        <v>4</v>
      </c>
      <c r="B180" s="1">
        <v>3</v>
      </c>
      <c r="C180" s="4" t="s">
        <v>179</v>
      </c>
      <c r="D180" s="1" t="s">
        <v>2</v>
      </c>
      <c r="E180" s="4"/>
      <c r="F180" s="4" t="s">
        <v>153</v>
      </c>
      <c r="G180" s="11" t="str">
        <f>_xlfn.XLOOKUP(M180,'Code Catagories'!A:A,'Code Catagories'!C:C)</f>
        <v>4E. Availability / Serviceability</v>
      </c>
      <c r="H180" s="4" t="s">
        <v>134</v>
      </c>
      <c r="I180" s="4" t="s">
        <v>154</v>
      </c>
      <c r="J180" s="4" t="s">
        <v>203</v>
      </c>
      <c r="K180" s="4" t="s">
        <v>141</v>
      </c>
      <c r="L180" s="7" t="s">
        <v>284</v>
      </c>
      <c r="M180" s="11" t="str">
        <f t="shared" si="6"/>
        <v>4E</v>
      </c>
      <c r="N180" s="1" t="str">
        <f t="shared" si="8"/>
        <v>006Rg00000aEDK3IAO</v>
      </c>
    </row>
    <row r="181" spans="1:14" ht="29.15" x14ac:dyDescent="0.4">
      <c r="A181" s="1">
        <v>4</v>
      </c>
      <c r="B181" s="1">
        <v>3</v>
      </c>
      <c r="C181" s="4" t="s">
        <v>179</v>
      </c>
      <c r="D181" s="1" t="s">
        <v>2</v>
      </c>
      <c r="E181" s="4"/>
      <c r="F181" s="4" t="s">
        <v>222</v>
      </c>
      <c r="G181" s="11" t="str">
        <f>_xlfn.XLOOKUP(M181,'Code Catagories'!A:A,'Code Catagories'!C:C)</f>
        <v>4C. Commercial Model</v>
      </c>
      <c r="H181" s="4" t="s">
        <v>134</v>
      </c>
      <c r="I181" s="4" t="s">
        <v>279</v>
      </c>
      <c r="J181" s="4" t="s">
        <v>224</v>
      </c>
      <c r="K181" s="4" t="s">
        <v>141</v>
      </c>
      <c r="L181" s="7" t="s">
        <v>285</v>
      </c>
      <c r="M181" s="11" t="str">
        <f t="shared" ref="M181:M238" si="9">TRIM(F181)</f>
        <v>4C</v>
      </c>
      <c r="N181" s="1" t="str">
        <f t="shared" ref="N181:N238" si="10">TRIM(C181)</f>
        <v>006Rg00000aEDK3IAO</v>
      </c>
    </row>
    <row r="182" spans="1:14" ht="29.15" x14ac:dyDescent="0.4">
      <c r="A182" s="1">
        <v>4</v>
      </c>
      <c r="B182" s="1">
        <v>3</v>
      </c>
      <c r="C182" s="4" t="s">
        <v>180</v>
      </c>
      <c r="D182" s="1" t="s">
        <v>2</v>
      </c>
      <c r="E182" s="4"/>
      <c r="F182" s="4" t="s">
        <v>137</v>
      </c>
      <c r="G182" s="11" t="str">
        <f>_xlfn.XLOOKUP(M182,'Code Catagories'!A:A,'Code Catagories'!C:C)</f>
        <v>4B. Ancillary Fees</v>
      </c>
      <c r="H182" s="4" t="s">
        <v>134</v>
      </c>
      <c r="I182" s="4" t="s">
        <v>228</v>
      </c>
      <c r="J182" s="4" t="s">
        <v>203</v>
      </c>
      <c r="K182" s="4" t="s">
        <v>141</v>
      </c>
      <c r="L182" s="7" t="s">
        <v>286</v>
      </c>
      <c r="M182" s="11" t="str">
        <f t="shared" si="9"/>
        <v>4B</v>
      </c>
      <c r="N182" s="1" t="str">
        <f t="shared" si="10"/>
        <v>006Rg00000aEjBqIAK</v>
      </c>
    </row>
    <row r="183" spans="1:14" ht="29.15" x14ac:dyDescent="0.4">
      <c r="A183" s="1">
        <v>4</v>
      </c>
      <c r="B183" s="1">
        <v>3</v>
      </c>
      <c r="C183" s="4" t="s">
        <v>181</v>
      </c>
      <c r="D183" s="1" t="s">
        <v>2</v>
      </c>
      <c r="E183" s="4"/>
      <c r="F183" s="4" t="s">
        <v>137</v>
      </c>
      <c r="G183" s="11" t="str">
        <f>_xlfn.XLOOKUP(M183,'Code Catagories'!A:A,'Code Catagories'!C:C)</f>
        <v>4B. Ancillary Fees</v>
      </c>
      <c r="H183" s="4" t="s">
        <v>134</v>
      </c>
      <c r="I183" s="4" t="s">
        <v>287</v>
      </c>
      <c r="J183" s="4" t="s">
        <v>203</v>
      </c>
      <c r="K183" s="4" t="s">
        <v>141</v>
      </c>
      <c r="L183" s="7" t="s">
        <v>288</v>
      </c>
      <c r="M183" s="11" t="str">
        <f t="shared" si="9"/>
        <v>4B</v>
      </c>
      <c r="N183" s="1" t="str">
        <f t="shared" si="10"/>
        <v>006Rg00000aeSk1IAE</v>
      </c>
    </row>
    <row r="184" spans="1:14" ht="29.15" x14ac:dyDescent="0.4">
      <c r="A184" s="1">
        <v>4</v>
      </c>
      <c r="B184" s="1">
        <v>3</v>
      </c>
      <c r="C184" s="4" t="s">
        <v>181</v>
      </c>
      <c r="D184" s="1" t="s">
        <v>2</v>
      </c>
      <c r="E184" s="4"/>
      <c r="F184" s="4" t="s">
        <v>145</v>
      </c>
      <c r="G184" s="11" t="str">
        <f>_xlfn.XLOOKUP(M184,'Code Catagories'!A:A,'Code Catagories'!C:C)</f>
        <v>4A. Rate Uncompetitive</v>
      </c>
      <c r="H184" s="4" t="s">
        <v>134</v>
      </c>
      <c r="I184" s="4" t="s">
        <v>241</v>
      </c>
      <c r="J184" s="4" t="s">
        <v>203</v>
      </c>
      <c r="K184" s="4" t="s">
        <v>141</v>
      </c>
      <c r="L184" s="7" t="s">
        <v>289</v>
      </c>
      <c r="M184" s="11" t="str">
        <f t="shared" si="9"/>
        <v>4A</v>
      </c>
      <c r="N184" s="1" t="str">
        <f t="shared" si="10"/>
        <v>006Rg00000aeSk1IAE</v>
      </c>
    </row>
    <row r="185" spans="1:14" ht="29.15" x14ac:dyDescent="0.4">
      <c r="A185" s="1">
        <v>4</v>
      </c>
      <c r="B185" s="1">
        <v>3</v>
      </c>
      <c r="C185" s="4" t="s">
        <v>181</v>
      </c>
      <c r="D185" s="1" t="s">
        <v>2</v>
      </c>
      <c r="E185" s="4"/>
      <c r="F185" s="4" t="s">
        <v>222</v>
      </c>
      <c r="G185" s="11" t="str">
        <f>_xlfn.XLOOKUP(M185,'Code Catagories'!A:A,'Code Catagories'!C:C)</f>
        <v>4C. Commercial Model</v>
      </c>
      <c r="H185" s="4" t="s">
        <v>134</v>
      </c>
      <c r="I185" s="4" t="s">
        <v>279</v>
      </c>
      <c r="J185" s="4" t="s">
        <v>203</v>
      </c>
      <c r="K185" s="4" t="s">
        <v>141</v>
      </c>
      <c r="L185" s="7" t="s">
        <v>290</v>
      </c>
      <c r="M185" s="11" t="str">
        <f t="shared" si="9"/>
        <v>4C</v>
      </c>
      <c r="N185" s="1" t="str">
        <f t="shared" si="10"/>
        <v>006Rg00000aeSk1IAE</v>
      </c>
    </row>
    <row r="186" spans="1:14" ht="29.15" x14ac:dyDescent="0.4">
      <c r="A186" s="1">
        <v>4</v>
      </c>
      <c r="B186" s="1">
        <v>3</v>
      </c>
      <c r="C186" s="4" t="s">
        <v>182</v>
      </c>
      <c r="D186" s="1" t="s">
        <v>1</v>
      </c>
      <c r="E186" s="4"/>
      <c r="F186" s="4" t="s">
        <v>222</v>
      </c>
      <c r="G186" s="11" t="str">
        <f>_xlfn.XLOOKUP(M186,'Code Catagories'!A:A,'Code Catagories'!C:C)</f>
        <v>4C. Commercial Model</v>
      </c>
      <c r="H186" s="4" t="s">
        <v>134</v>
      </c>
      <c r="I186" s="4" t="s">
        <v>239</v>
      </c>
      <c r="J186" s="4" t="s">
        <v>203</v>
      </c>
      <c r="K186" s="4" t="s">
        <v>141</v>
      </c>
      <c r="L186" s="7" t="s">
        <v>291</v>
      </c>
      <c r="M186" s="11" t="str">
        <f t="shared" si="9"/>
        <v>4C</v>
      </c>
      <c r="N186" s="1" t="str">
        <f t="shared" si="10"/>
        <v>006Rg00000aETDVIA4</v>
      </c>
    </row>
    <row r="187" spans="1:14" x14ac:dyDescent="0.4">
      <c r="A187" s="1">
        <v>4</v>
      </c>
      <c r="B187" s="1">
        <v>3</v>
      </c>
      <c r="C187" s="4" t="s">
        <v>183</v>
      </c>
      <c r="D187" s="1" t="s">
        <v>1</v>
      </c>
      <c r="E187" s="4"/>
      <c r="F187" s="4" t="s">
        <v>134</v>
      </c>
      <c r="G187" s="11" t="e">
        <f>_xlfn.XLOOKUP(M187,'Code Catagories'!A:A,'Code Catagories'!C:C)</f>
        <v>#N/A</v>
      </c>
      <c r="H187" s="4" t="s">
        <v>134</v>
      </c>
      <c r="I187" s="4" t="s">
        <v>134</v>
      </c>
      <c r="J187" s="4" t="s">
        <v>134</v>
      </c>
      <c r="K187" s="4" t="s">
        <v>134</v>
      </c>
      <c r="L187" s="7" t="s">
        <v>135</v>
      </c>
      <c r="M187" s="11" t="str">
        <f t="shared" si="9"/>
        <v>—</v>
      </c>
      <c r="N187" s="1" t="str">
        <f t="shared" si="10"/>
        <v>006Rg00000agaggIAA</v>
      </c>
    </row>
    <row r="188" spans="1:14" x14ac:dyDescent="0.4">
      <c r="A188" s="1">
        <v>4</v>
      </c>
      <c r="B188" s="1">
        <v>3</v>
      </c>
      <c r="C188" s="4" t="s">
        <v>184</v>
      </c>
      <c r="D188" s="1" t="s">
        <v>2</v>
      </c>
      <c r="E188" s="4"/>
      <c r="F188" s="4" t="s">
        <v>134</v>
      </c>
      <c r="G188" s="11" t="e">
        <f>_xlfn.XLOOKUP(M188,'Code Catagories'!A:A,'Code Catagories'!C:C)</f>
        <v>#N/A</v>
      </c>
      <c r="H188" s="4" t="s">
        <v>134</v>
      </c>
      <c r="I188" s="4" t="s">
        <v>134</v>
      </c>
      <c r="J188" s="4" t="s">
        <v>134</v>
      </c>
      <c r="K188" s="4" t="s">
        <v>134</v>
      </c>
      <c r="L188" s="7" t="s">
        <v>135</v>
      </c>
      <c r="M188" s="11" t="str">
        <f t="shared" si="9"/>
        <v>—</v>
      </c>
      <c r="N188" s="1" t="str">
        <f t="shared" si="10"/>
        <v>006Rg00000aGe4pIAC</v>
      </c>
    </row>
    <row r="189" spans="1:14" x14ac:dyDescent="0.4">
      <c r="A189" s="1">
        <v>4</v>
      </c>
      <c r="B189" s="1">
        <v>4</v>
      </c>
      <c r="C189" s="4" t="s">
        <v>185</v>
      </c>
      <c r="D189" s="1" t="s">
        <v>2</v>
      </c>
      <c r="E189" s="4"/>
      <c r="F189" s="4" t="s">
        <v>134</v>
      </c>
      <c r="G189" s="11" t="e">
        <f>_xlfn.XLOOKUP(M189,'Code Catagories'!A:A,'Code Catagories'!C:C)</f>
        <v>#N/A</v>
      </c>
      <c r="H189" s="4" t="s">
        <v>134</v>
      </c>
      <c r="I189" s="4" t="s">
        <v>134</v>
      </c>
      <c r="J189" s="4" t="s">
        <v>134</v>
      </c>
      <c r="K189" s="4" t="s">
        <v>134</v>
      </c>
      <c r="L189" s="7" t="s">
        <v>135</v>
      </c>
      <c r="M189" s="11" t="str">
        <f t="shared" si="9"/>
        <v>—</v>
      </c>
      <c r="N189" s="1" t="str">
        <f t="shared" si="10"/>
        <v>006Rg00000agkGFIAY</v>
      </c>
    </row>
    <row r="190" spans="1:14" x14ac:dyDescent="0.4">
      <c r="A190" s="1">
        <v>4</v>
      </c>
      <c r="B190" s="1">
        <v>4</v>
      </c>
      <c r="C190" s="4" t="s">
        <v>186</v>
      </c>
      <c r="D190" s="1" t="s">
        <v>1</v>
      </c>
      <c r="E190" s="4"/>
      <c r="F190" s="4" t="s">
        <v>134</v>
      </c>
      <c r="G190" s="11" t="e">
        <f>_xlfn.XLOOKUP(M190,'Code Catagories'!A:A,'Code Catagories'!C:C)</f>
        <v>#N/A</v>
      </c>
      <c r="H190" s="4" t="s">
        <v>134</v>
      </c>
      <c r="I190" s="4" t="s">
        <v>134</v>
      </c>
      <c r="J190" s="4" t="s">
        <v>134</v>
      </c>
      <c r="K190" s="4" t="s">
        <v>134</v>
      </c>
      <c r="L190" s="7" t="s">
        <v>135</v>
      </c>
      <c r="M190" s="11" t="str">
        <f t="shared" si="9"/>
        <v>—</v>
      </c>
      <c r="N190" s="1" t="str">
        <f t="shared" si="10"/>
        <v>006Rg00000aGpBVIA0</v>
      </c>
    </row>
    <row r="191" spans="1:14" x14ac:dyDescent="0.4">
      <c r="A191" s="1">
        <v>4</v>
      </c>
      <c r="B191" s="1">
        <v>4</v>
      </c>
      <c r="C191" s="4" t="s">
        <v>187</v>
      </c>
      <c r="D191" s="1" t="s">
        <v>2</v>
      </c>
      <c r="E191" s="4"/>
      <c r="F191" s="4" t="s">
        <v>134</v>
      </c>
      <c r="G191" s="11" t="e">
        <f>_xlfn.XLOOKUP(M191,'Code Catagories'!A:A,'Code Catagories'!C:C)</f>
        <v>#N/A</v>
      </c>
      <c r="H191" s="4" t="s">
        <v>134</v>
      </c>
      <c r="I191" s="4" t="s">
        <v>134</v>
      </c>
      <c r="J191" s="4" t="s">
        <v>134</v>
      </c>
      <c r="K191" s="4" t="s">
        <v>134</v>
      </c>
      <c r="L191" s="7" t="s">
        <v>135</v>
      </c>
      <c r="M191" s="11" t="str">
        <f t="shared" si="9"/>
        <v>—</v>
      </c>
      <c r="N191" s="1" t="str">
        <f t="shared" si="10"/>
        <v>006Rg00000agRIQIA2</v>
      </c>
    </row>
    <row r="192" spans="1:14" ht="43.75" x14ac:dyDescent="0.4">
      <c r="A192" s="1">
        <v>4</v>
      </c>
      <c r="B192" s="1">
        <v>4</v>
      </c>
      <c r="C192" s="4" t="s">
        <v>188</v>
      </c>
      <c r="D192" s="1" t="s">
        <v>1</v>
      </c>
      <c r="E192" s="4"/>
      <c r="F192" s="4" t="s">
        <v>166</v>
      </c>
      <c r="G192" s="11" t="str">
        <f>_xlfn.XLOOKUP(M192,'Code Catagories'!A:A,'Code Catagories'!C:C)</f>
        <v>4F. Promotion Ineligibility</v>
      </c>
      <c r="H192" s="4" t="s">
        <v>138</v>
      </c>
      <c r="I192" s="4" t="s">
        <v>167</v>
      </c>
      <c r="J192" s="4" t="s">
        <v>147</v>
      </c>
      <c r="K192" s="4" t="s">
        <v>141</v>
      </c>
      <c r="L192" s="7" t="s">
        <v>292</v>
      </c>
      <c r="M192" s="11" t="str">
        <f t="shared" si="9"/>
        <v>4F</v>
      </c>
      <c r="N192" s="1" t="str">
        <f t="shared" si="10"/>
        <v>006Rg00000aGscRIAS</v>
      </c>
    </row>
    <row r="193" spans="1:14" x14ac:dyDescent="0.4">
      <c r="A193" s="1">
        <v>4</v>
      </c>
      <c r="B193" s="1">
        <v>4</v>
      </c>
      <c r="C193" s="4" t="s">
        <v>189</v>
      </c>
      <c r="D193" s="1" t="s">
        <v>1</v>
      </c>
      <c r="E193" s="4"/>
      <c r="F193" s="4" t="s">
        <v>134</v>
      </c>
      <c r="G193" s="11" t="e">
        <f>_xlfn.XLOOKUP(M193,'Code Catagories'!A:A,'Code Catagories'!C:C)</f>
        <v>#N/A</v>
      </c>
      <c r="H193" s="4" t="s">
        <v>134</v>
      </c>
      <c r="I193" s="4" t="s">
        <v>134</v>
      </c>
      <c r="J193" s="4" t="s">
        <v>134</v>
      </c>
      <c r="K193" s="4" t="s">
        <v>134</v>
      </c>
      <c r="L193" s="7" t="s">
        <v>135</v>
      </c>
      <c r="M193" s="11" t="str">
        <f t="shared" si="9"/>
        <v>—</v>
      </c>
      <c r="N193" s="1" t="str">
        <f t="shared" si="10"/>
        <v>006Rg00000ah5BDIAY</v>
      </c>
    </row>
    <row r="194" spans="1:14" ht="29.15" x14ac:dyDescent="0.4">
      <c r="A194" s="1">
        <v>4</v>
      </c>
      <c r="B194" s="1">
        <v>4</v>
      </c>
      <c r="C194" s="4" t="s">
        <v>190</v>
      </c>
      <c r="D194" s="1" t="s">
        <v>1</v>
      </c>
      <c r="E194" s="4"/>
      <c r="F194" s="4" t="s">
        <v>222</v>
      </c>
      <c r="G194" s="11" t="str">
        <f>_xlfn.XLOOKUP(M194,'Code Catagories'!A:A,'Code Catagories'!C:C)</f>
        <v>4C. Commercial Model</v>
      </c>
      <c r="H194" s="4" t="s">
        <v>134</v>
      </c>
      <c r="I194" s="4" t="s">
        <v>223</v>
      </c>
      <c r="J194" s="4" t="s">
        <v>203</v>
      </c>
      <c r="K194" s="4" t="s">
        <v>141</v>
      </c>
      <c r="L194" s="7" t="s">
        <v>293</v>
      </c>
      <c r="M194" s="11" t="str">
        <f t="shared" si="9"/>
        <v>4C</v>
      </c>
      <c r="N194" s="1" t="str">
        <f t="shared" si="10"/>
        <v>006Rg00000ahdivIAA</v>
      </c>
    </row>
    <row r="195" spans="1:14" ht="43.75" x14ac:dyDescent="0.4">
      <c r="A195" s="1">
        <v>4</v>
      </c>
      <c r="B195" s="1">
        <v>4</v>
      </c>
      <c r="C195" s="4" t="s">
        <v>191</v>
      </c>
      <c r="D195" s="1" t="s">
        <v>1</v>
      </c>
      <c r="E195" s="4"/>
      <c r="F195" s="4" t="s">
        <v>137</v>
      </c>
      <c r="G195" s="11" t="str">
        <f>_xlfn.XLOOKUP(M195,'Code Catagories'!A:A,'Code Catagories'!C:C)</f>
        <v>4B. Ancillary Fees</v>
      </c>
      <c r="H195" s="4" t="s">
        <v>134</v>
      </c>
      <c r="I195" s="4" t="s">
        <v>294</v>
      </c>
      <c r="J195" s="4" t="s">
        <v>147</v>
      </c>
      <c r="K195" s="4" t="s">
        <v>148</v>
      </c>
      <c r="L195" s="7" t="s">
        <v>295</v>
      </c>
      <c r="M195" s="11" t="str">
        <f t="shared" si="9"/>
        <v>4B</v>
      </c>
      <c r="N195" s="1" t="str">
        <f t="shared" si="10"/>
        <v>006Rg00000aHJvxIAG</v>
      </c>
    </row>
    <row r="196" spans="1:14" ht="43.75" x14ac:dyDescent="0.4">
      <c r="A196" s="1">
        <v>4</v>
      </c>
      <c r="B196" s="1">
        <v>4</v>
      </c>
      <c r="C196" s="4" t="s">
        <v>191</v>
      </c>
      <c r="D196" s="1" t="s">
        <v>1</v>
      </c>
      <c r="E196" s="4"/>
      <c r="F196" s="4" t="s">
        <v>192</v>
      </c>
      <c r="G196" s="11" t="str">
        <f>_xlfn.XLOOKUP(M196,'Code Catagories'!A:A,'Code Catagories'!C:C)</f>
        <v>4D. Contract Mechanics</v>
      </c>
      <c r="H196" s="4" t="s">
        <v>138</v>
      </c>
      <c r="I196" s="4" t="s">
        <v>193</v>
      </c>
      <c r="J196" s="4" t="s">
        <v>147</v>
      </c>
      <c r="K196" s="4" t="s">
        <v>148</v>
      </c>
      <c r="L196" s="7" t="s">
        <v>296</v>
      </c>
      <c r="M196" s="11" t="str">
        <f t="shared" si="9"/>
        <v>4D</v>
      </c>
      <c r="N196" s="1" t="str">
        <f t="shared" si="10"/>
        <v>006Rg00000aHJvxIAG</v>
      </c>
    </row>
    <row r="197" spans="1:14" x14ac:dyDescent="0.4">
      <c r="A197" s="1">
        <v>4</v>
      </c>
      <c r="B197" s="1">
        <v>4</v>
      </c>
      <c r="C197" s="4" t="s">
        <v>194</v>
      </c>
      <c r="D197" s="1" t="s">
        <v>2</v>
      </c>
      <c r="E197" s="4"/>
      <c r="F197" s="4" t="s">
        <v>134</v>
      </c>
      <c r="G197" s="11" t="e">
        <f>_xlfn.XLOOKUP(M197,'Code Catagories'!A:A,'Code Catagories'!C:C)</f>
        <v>#N/A</v>
      </c>
      <c r="H197" s="4" t="s">
        <v>134</v>
      </c>
      <c r="I197" s="4" t="s">
        <v>134</v>
      </c>
      <c r="J197" s="4" t="s">
        <v>134</v>
      </c>
      <c r="K197" s="4" t="s">
        <v>134</v>
      </c>
      <c r="L197" s="7" t="s">
        <v>135</v>
      </c>
      <c r="M197" s="11" t="str">
        <f t="shared" si="9"/>
        <v>—</v>
      </c>
      <c r="N197" s="1" t="str">
        <f t="shared" si="10"/>
        <v>006Rg00000ahpXDIAY</v>
      </c>
    </row>
    <row r="198" spans="1:14" ht="43.75" x14ac:dyDescent="0.4">
      <c r="A198" s="1">
        <v>4</v>
      </c>
      <c r="B198" s="1">
        <v>4</v>
      </c>
      <c r="C198" s="4" t="s">
        <v>195</v>
      </c>
      <c r="D198" s="1" t="s">
        <v>2</v>
      </c>
      <c r="E198" s="4"/>
      <c r="F198" s="4" t="s">
        <v>137</v>
      </c>
      <c r="G198" s="11" t="str">
        <f>_xlfn.XLOOKUP(M198,'Code Catagories'!A:A,'Code Catagories'!C:C)</f>
        <v>4B. Ancillary Fees</v>
      </c>
      <c r="H198" s="4" t="s">
        <v>138</v>
      </c>
      <c r="I198" s="4" t="s">
        <v>247</v>
      </c>
      <c r="J198" s="4" t="s">
        <v>140</v>
      </c>
      <c r="K198" s="4" t="s">
        <v>141</v>
      </c>
      <c r="L198" s="7" t="s">
        <v>297</v>
      </c>
      <c r="M198" s="11" t="str">
        <f t="shared" si="9"/>
        <v>4B</v>
      </c>
      <c r="N198" s="1" t="str">
        <f t="shared" si="10"/>
        <v>006Rg00000ahv37IAA</v>
      </c>
    </row>
    <row r="199" spans="1:14" x14ac:dyDescent="0.4">
      <c r="A199" s="1">
        <v>4</v>
      </c>
      <c r="B199" s="1">
        <v>4</v>
      </c>
      <c r="C199" s="4" t="s">
        <v>196</v>
      </c>
      <c r="D199" s="1" t="s">
        <v>2</v>
      </c>
      <c r="E199" s="4"/>
      <c r="F199" s="4" t="s">
        <v>134</v>
      </c>
      <c r="G199" s="11" t="e">
        <f>_xlfn.XLOOKUP(M199,'Code Catagories'!A:A,'Code Catagories'!C:C)</f>
        <v>#N/A</v>
      </c>
      <c r="H199" s="4" t="s">
        <v>134</v>
      </c>
      <c r="I199" s="4" t="s">
        <v>134</v>
      </c>
      <c r="J199" s="4" t="s">
        <v>134</v>
      </c>
      <c r="K199" s="4" t="s">
        <v>134</v>
      </c>
      <c r="L199" s="7" t="s">
        <v>135</v>
      </c>
      <c r="M199" s="11" t="str">
        <f t="shared" si="9"/>
        <v>—</v>
      </c>
      <c r="N199" s="1" t="str">
        <f t="shared" si="10"/>
        <v>006Rg00000ajNesIAE</v>
      </c>
    </row>
    <row r="200" spans="1:14" x14ac:dyDescent="0.4">
      <c r="A200" s="1">
        <v>4</v>
      </c>
      <c r="B200" s="1">
        <v>4</v>
      </c>
      <c r="C200" s="4" t="s">
        <v>197</v>
      </c>
      <c r="D200" s="1" t="s">
        <v>1</v>
      </c>
      <c r="E200" s="4"/>
      <c r="F200" s="4" t="s">
        <v>134</v>
      </c>
      <c r="G200" s="11" t="e">
        <f>_xlfn.XLOOKUP(M200,'Code Catagories'!A:A,'Code Catagories'!C:C)</f>
        <v>#N/A</v>
      </c>
      <c r="H200" s="4" t="s">
        <v>134</v>
      </c>
      <c r="I200" s="4" t="s">
        <v>134</v>
      </c>
      <c r="J200" s="4" t="s">
        <v>134</v>
      </c>
      <c r="K200" s="4" t="s">
        <v>134</v>
      </c>
      <c r="L200" s="7" t="s">
        <v>135</v>
      </c>
      <c r="M200" s="11" t="str">
        <f t="shared" si="9"/>
        <v>—</v>
      </c>
      <c r="N200" s="1" t="str">
        <f t="shared" si="10"/>
        <v>006Rg00000ajupLIAQ</v>
      </c>
    </row>
    <row r="201" spans="1:14" ht="29.15" x14ac:dyDescent="0.4">
      <c r="A201" s="1">
        <v>4</v>
      </c>
      <c r="B201" s="1">
        <v>4</v>
      </c>
      <c r="C201" s="4" t="s">
        <v>198</v>
      </c>
      <c r="D201" s="1" t="s">
        <v>1</v>
      </c>
      <c r="E201" s="4"/>
      <c r="F201" s="4" t="s">
        <v>145</v>
      </c>
      <c r="G201" s="11" t="str">
        <f>_xlfn.XLOOKUP(M201,'Code Catagories'!A:A,'Code Catagories'!C:C)</f>
        <v>4A. Rate Uncompetitive</v>
      </c>
      <c r="H201" s="4" t="s">
        <v>138</v>
      </c>
      <c r="I201" s="4" t="s">
        <v>199</v>
      </c>
      <c r="J201" s="4" t="s">
        <v>147</v>
      </c>
      <c r="K201" s="4" t="s">
        <v>148</v>
      </c>
      <c r="L201" s="7" t="s">
        <v>298</v>
      </c>
      <c r="M201" s="11" t="str">
        <f t="shared" si="9"/>
        <v>4A</v>
      </c>
      <c r="N201" s="1" t="str">
        <f t="shared" si="10"/>
        <v>006Rg00000ajZZbIAM</v>
      </c>
    </row>
    <row r="202" spans="1:14" ht="43.75" x14ac:dyDescent="0.4">
      <c r="A202" s="1">
        <v>4</v>
      </c>
      <c r="B202" s="1">
        <v>4</v>
      </c>
      <c r="C202" s="4" t="s">
        <v>198</v>
      </c>
      <c r="D202" s="1" t="s">
        <v>1</v>
      </c>
      <c r="E202" s="4"/>
      <c r="F202" s="4" t="s">
        <v>222</v>
      </c>
      <c r="G202" s="11" t="str">
        <f>_xlfn.XLOOKUP(M202,'Code Catagories'!A:A,'Code Catagories'!C:C)</f>
        <v>4C. Commercial Model</v>
      </c>
      <c r="H202" s="4" t="s">
        <v>134</v>
      </c>
      <c r="I202" s="4" t="s">
        <v>223</v>
      </c>
      <c r="J202" s="4" t="s">
        <v>203</v>
      </c>
      <c r="K202" s="4" t="s">
        <v>141</v>
      </c>
      <c r="L202" s="7" t="s">
        <v>299</v>
      </c>
      <c r="M202" s="11" t="str">
        <f t="shared" si="9"/>
        <v>4C</v>
      </c>
      <c r="N202" s="1" t="str">
        <f t="shared" si="10"/>
        <v>006Rg00000ajZZbIAM</v>
      </c>
    </row>
    <row r="203" spans="1:14" ht="43.75" x14ac:dyDescent="0.4">
      <c r="A203" s="1">
        <v>4</v>
      </c>
      <c r="B203" s="1">
        <v>4</v>
      </c>
      <c r="C203" s="4" t="s">
        <v>200</v>
      </c>
      <c r="D203" s="1" t="s">
        <v>2</v>
      </c>
      <c r="E203" s="4"/>
      <c r="F203" s="4" t="s">
        <v>222</v>
      </c>
      <c r="G203" s="11" t="str">
        <f>_xlfn.XLOOKUP(M203,'Code Catagories'!A:A,'Code Catagories'!C:C)</f>
        <v>4C. Commercial Model</v>
      </c>
      <c r="H203" s="4" t="s">
        <v>134</v>
      </c>
      <c r="I203" s="4" t="s">
        <v>223</v>
      </c>
      <c r="J203" s="4" t="s">
        <v>203</v>
      </c>
      <c r="K203" s="4" t="s">
        <v>141</v>
      </c>
      <c r="L203" s="7" t="s">
        <v>300</v>
      </c>
      <c r="M203" s="11" t="str">
        <f t="shared" si="9"/>
        <v>4C</v>
      </c>
      <c r="N203" s="1" t="str">
        <f t="shared" si="10"/>
        <v>006Rg00000akFSLIA2</v>
      </c>
    </row>
    <row r="204" spans="1:14" x14ac:dyDescent="0.4">
      <c r="A204" s="1">
        <v>4</v>
      </c>
      <c r="B204" s="1">
        <v>4</v>
      </c>
      <c r="C204" s="4" t="s">
        <v>201</v>
      </c>
      <c r="D204" s="1" t="s">
        <v>1</v>
      </c>
      <c r="E204" s="4"/>
      <c r="F204" s="4" t="s">
        <v>134</v>
      </c>
      <c r="G204" s="11" t="e">
        <f>_xlfn.XLOOKUP(M204,'Code Catagories'!A:A,'Code Catagories'!C:C)</f>
        <v>#N/A</v>
      </c>
      <c r="H204" s="4" t="s">
        <v>134</v>
      </c>
      <c r="I204" s="4" t="s">
        <v>134</v>
      </c>
      <c r="J204" s="4" t="s">
        <v>134</v>
      </c>
      <c r="K204" s="4" t="s">
        <v>134</v>
      </c>
      <c r="L204" s="7" t="s">
        <v>135</v>
      </c>
      <c r="M204" s="11" t="str">
        <f t="shared" si="9"/>
        <v>—</v>
      </c>
      <c r="N204" s="1" t="str">
        <f t="shared" si="10"/>
        <v>006Rg00000akMnBIAU</v>
      </c>
    </row>
    <row r="205" spans="1:14" x14ac:dyDescent="0.4">
      <c r="A205" s="1">
        <v>4</v>
      </c>
      <c r="B205" s="1">
        <v>4</v>
      </c>
      <c r="C205" s="4" t="s">
        <v>202</v>
      </c>
      <c r="D205" s="1" t="s">
        <v>2</v>
      </c>
      <c r="E205" s="4"/>
      <c r="F205" s="4" t="s">
        <v>134</v>
      </c>
      <c r="G205" s="11" t="e">
        <f>_xlfn.XLOOKUP(M205,'Code Catagories'!A:A,'Code Catagories'!C:C)</f>
        <v>#N/A</v>
      </c>
      <c r="H205" s="4" t="s">
        <v>134</v>
      </c>
      <c r="I205" s="4" t="s">
        <v>134</v>
      </c>
      <c r="J205" s="4" t="s">
        <v>134</v>
      </c>
      <c r="K205" s="4" t="s">
        <v>134</v>
      </c>
      <c r="L205" s="7" t="s">
        <v>135</v>
      </c>
      <c r="M205" s="11" t="str">
        <f t="shared" si="9"/>
        <v>—</v>
      </c>
      <c r="N205" s="1" t="str">
        <f t="shared" si="10"/>
        <v>006Rg00000akpQzIAI</v>
      </c>
    </row>
    <row r="206" spans="1:14" x14ac:dyDescent="0.4">
      <c r="A206" s="1">
        <v>4</v>
      </c>
      <c r="B206" s="1">
        <v>4</v>
      </c>
      <c r="C206" s="4" t="s">
        <v>301</v>
      </c>
      <c r="D206" s="1" t="s">
        <v>1</v>
      </c>
      <c r="E206" s="4"/>
      <c r="F206" s="4" t="s">
        <v>134</v>
      </c>
      <c r="G206" s="11" t="e">
        <f>_xlfn.XLOOKUP(M206,'Code Catagories'!A:A,'Code Catagories'!C:C)</f>
        <v>#N/A</v>
      </c>
      <c r="H206" s="4" t="s">
        <v>134</v>
      </c>
      <c r="I206" s="4" t="s">
        <v>134</v>
      </c>
      <c r="J206" s="4" t="s">
        <v>134</v>
      </c>
      <c r="K206" s="4" t="s">
        <v>134</v>
      </c>
      <c r="L206" s="7" t="s">
        <v>135</v>
      </c>
      <c r="M206" s="11" t="str">
        <f t="shared" si="9"/>
        <v>—</v>
      </c>
      <c r="N206" s="1" t="str">
        <f t="shared" si="10"/>
        <v>006Rg00000akSSnIAM</v>
      </c>
    </row>
    <row r="207" spans="1:14" ht="29.15" x14ac:dyDescent="0.4">
      <c r="A207" s="1">
        <v>4</v>
      </c>
      <c r="B207" s="1">
        <v>5</v>
      </c>
      <c r="C207" s="4" t="s">
        <v>204</v>
      </c>
      <c r="D207" s="1" t="s">
        <v>1</v>
      </c>
      <c r="E207" s="4"/>
      <c r="F207" s="4" t="s">
        <v>153</v>
      </c>
      <c r="G207" s="11" t="str">
        <f>_xlfn.XLOOKUP(M207,'Code Catagories'!A:A,'Code Catagories'!C:C)</f>
        <v>4E. Availability / Serviceability</v>
      </c>
      <c r="H207" s="4" t="s">
        <v>134</v>
      </c>
      <c r="I207" s="4" t="s">
        <v>154</v>
      </c>
      <c r="J207" s="4" t="s">
        <v>224</v>
      </c>
      <c r="K207" s="4" t="s">
        <v>141</v>
      </c>
      <c r="L207" s="7" t="s">
        <v>302</v>
      </c>
      <c r="M207" s="11" t="str">
        <f t="shared" si="9"/>
        <v>4E</v>
      </c>
      <c r="N207" s="1" t="str">
        <f t="shared" si="10"/>
        <v>006Rg00000akv5AIAQ</v>
      </c>
    </row>
    <row r="208" spans="1:14" ht="29.15" x14ac:dyDescent="0.4">
      <c r="A208" s="1">
        <v>4</v>
      </c>
      <c r="B208" s="1">
        <v>5</v>
      </c>
      <c r="C208" s="4" t="s">
        <v>204</v>
      </c>
      <c r="D208" s="1" t="s">
        <v>1</v>
      </c>
      <c r="E208" s="4"/>
      <c r="F208" s="4" t="s">
        <v>137</v>
      </c>
      <c r="G208" s="11" t="str">
        <f>_xlfn.XLOOKUP(M208,'Code Catagories'!A:A,'Code Catagories'!C:C)</f>
        <v>4B. Ancillary Fees</v>
      </c>
      <c r="H208" s="4" t="s">
        <v>134</v>
      </c>
      <c r="I208" s="4" t="s">
        <v>207</v>
      </c>
      <c r="J208" s="4" t="s">
        <v>203</v>
      </c>
      <c r="K208" s="4" t="s">
        <v>141</v>
      </c>
      <c r="L208" s="7" t="s">
        <v>303</v>
      </c>
      <c r="M208" s="11" t="str">
        <f t="shared" si="9"/>
        <v>4B</v>
      </c>
      <c r="N208" s="1" t="str">
        <f t="shared" si="10"/>
        <v>006Rg00000akv5AIAQ</v>
      </c>
    </row>
    <row r="209" spans="1:14" ht="29.15" x14ac:dyDescent="0.4">
      <c r="A209" s="1">
        <v>4</v>
      </c>
      <c r="B209" s="1">
        <v>5</v>
      </c>
      <c r="C209" s="4" t="s">
        <v>205</v>
      </c>
      <c r="D209" s="1" t="s">
        <v>2</v>
      </c>
      <c r="E209" s="4"/>
      <c r="F209" s="4" t="s">
        <v>137</v>
      </c>
      <c r="G209" s="11" t="str">
        <f>_xlfn.XLOOKUP(M209,'Code Catagories'!A:A,'Code Catagories'!C:C)</f>
        <v>4B. Ancillary Fees</v>
      </c>
      <c r="H209" s="4" t="s">
        <v>134</v>
      </c>
      <c r="I209" s="4" t="s">
        <v>232</v>
      </c>
      <c r="J209" s="4" t="s">
        <v>203</v>
      </c>
      <c r="K209" s="4" t="s">
        <v>141</v>
      </c>
      <c r="L209" s="7" t="s">
        <v>304</v>
      </c>
      <c r="M209" s="11" t="str">
        <f t="shared" si="9"/>
        <v>4B</v>
      </c>
      <c r="N209" s="1" t="str">
        <f t="shared" si="10"/>
        <v>006Rg00000aKwPhIAK</v>
      </c>
    </row>
    <row r="210" spans="1:14" ht="29.15" x14ac:dyDescent="0.4">
      <c r="A210" s="1">
        <v>4</v>
      </c>
      <c r="B210" s="1">
        <v>5</v>
      </c>
      <c r="C210" s="4" t="s">
        <v>206</v>
      </c>
      <c r="D210" s="1" t="s">
        <v>1</v>
      </c>
      <c r="E210" s="4"/>
      <c r="F210" s="4" t="s">
        <v>137</v>
      </c>
      <c r="G210" s="11" t="str">
        <f>_xlfn.XLOOKUP(M210,'Code Catagories'!A:A,'Code Catagories'!C:C)</f>
        <v>4B. Ancillary Fees</v>
      </c>
      <c r="H210" s="4" t="s">
        <v>138</v>
      </c>
      <c r="I210" s="4" t="s">
        <v>207</v>
      </c>
      <c r="J210" s="4" t="s">
        <v>147</v>
      </c>
      <c r="K210" s="4" t="s">
        <v>148</v>
      </c>
      <c r="L210" s="7" t="s">
        <v>305</v>
      </c>
      <c r="M210" s="11" t="str">
        <f t="shared" si="9"/>
        <v>4B</v>
      </c>
      <c r="N210" s="1" t="str">
        <f t="shared" si="10"/>
        <v>006Rg00000aLkxaIAC</v>
      </c>
    </row>
    <row r="211" spans="1:14" ht="43.75" x14ac:dyDescent="0.4">
      <c r="A211" s="1">
        <v>4</v>
      </c>
      <c r="B211" s="1">
        <v>5</v>
      </c>
      <c r="C211" s="4" t="s">
        <v>208</v>
      </c>
      <c r="D211" s="1" t="s">
        <v>1</v>
      </c>
      <c r="E211" s="4"/>
      <c r="F211" s="4" t="s">
        <v>192</v>
      </c>
      <c r="G211" s="11" t="str">
        <f>_xlfn.XLOOKUP(M211,'Code Catagories'!A:A,'Code Catagories'!C:C)</f>
        <v>4D. Contract Mechanics</v>
      </c>
      <c r="H211" s="4" t="s">
        <v>134</v>
      </c>
      <c r="I211" s="4" t="s">
        <v>193</v>
      </c>
      <c r="J211" s="4" t="s">
        <v>203</v>
      </c>
      <c r="K211" s="4" t="s">
        <v>141</v>
      </c>
      <c r="L211" s="7" t="s">
        <v>306</v>
      </c>
      <c r="M211" s="11" t="str">
        <f t="shared" si="9"/>
        <v>4D</v>
      </c>
      <c r="N211" s="1" t="str">
        <f t="shared" si="10"/>
        <v>006Rg00000aLn1UIAS</v>
      </c>
    </row>
    <row r="212" spans="1:14" ht="29.15" x14ac:dyDescent="0.4">
      <c r="A212" s="1">
        <v>4</v>
      </c>
      <c r="B212" s="1">
        <v>5</v>
      </c>
      <c r="C212" s="4" t="s">
        <v>208</v>
      </c>
      <c r="D212" s="1" t="s">
        <v>1</v>
      </c>
      <c r="E212" s="4"/>
      <c r="F212" s="4" t="s">
        <v>192</v>
      </c>
      <c r="G212" s="11" t="str">
        <f>_xlfn.XLOOKUP(M212,'Code Catagories'!A:A,'Code Catagories'!C:C)</f>
        <v>4D. Contract Mechanics</v>
      </c>
      <c r="H212" s="4" t="s">
        <v>134</v>
      </c>
      <c r="I212" s="4" t="s">
        <v>307</v>
      </c>
      <c r="J212" s="4" t="s">
        <v>308</v>
      </c>
      <c r="K212" s="4" t="s">
        <v>309</v>
      </c>
      <c r="L212" s="7" t="s">
        <v>310</v>
      </c>
      <c r="M212" s="11" t="str">
        <f t="shared" si="9"/>
        <v>4D</v>
      </c>
      <c r="N212" s="1" t="str">
        <f t="shared" si="10"/>
        <v>006Rg00000aLn1UIAS</v>
      </c>
    </row>
    <row r="213" spans="1:14" ht="29.15" x14ac:dyDescent="0.4">
      <c r="A213" s="1">
        <v>4</v>
      </c>
      <c r="B213" s="1">
        <v>5</v>
      </c>
      <c r="C213" s="4" t="s">
        <v>209</v>
      </c>
      <c r="D213" s="1" t="s">
        <v>1</v>
      </c>
      <c r="E213" s="4"/>
      <c r="F213" s="4" t="s">
        <v>137</v>
      </c>
      <c r="G213" s="11" t="str">
        <f>_xlfn.XLOOKUP(M213,'Code Catagories'!A:A,'Code Catagories'!C:C)</f>
        <v>4B. Ancillary Fees</v>
      </c>
      <c r="H213" s="4" t="s">
        <v>134</v>
      </c>
      <c r="I213" s="4" t="s">
        <v>207</v>
      </c>
      <c r="J213" s="4" t="s">
        <v>203</v>
      </c>
      <c r="K213" s="4" t="s">
        <v>141</v>
      </c>
      <c r="L213" s="7" t="s">
        <v>311</v>
      </c>
      <c r="M213" s="11" t="str">
        <f t="shared" si="9"/>
        <v>4B</v>
      </c>
      <c r="N213" s="1" t="str">
        <f t="shared" si="10"/>
        <v>006Rg00000aLyYuIAK</v>
      </c>
    </row>
    <row r="214" spans="1:14" ht="29.15" x14ac:dyDescent="0.4">
      <c r="A214" s="1">
        <v>4</v>
      </c>
      <c r="B214" s="1">
        <v>5</v>
      </c>
      <c r="C214" s="4" t="s">
        <v>210</v>
      </c>
      <c r="D214" s="1" t="s">
        <v>2</v>
      </c>
      <c r="E214" s="4"/>
      <c r="F214" s="4" t="s">
        <v>222</v>
      </c>
      <c r="G214" s="11" t="str">
        <f>_xlfn.XLOOKUP(M214,'Code Catagories'!A:A,'Code Catagories'!C:C)</f>
        <v>4C. Commercial Model</v>
      </c>
      <c r="H214" s="4" t="s">
        <v>134</v>
      </c>
      <c r="I214" s="4" t="s">
        <v>223</v>
      </c>
      <c r="J214" s="4" t="s">
        <v>203</v>
      </c>
      <c r="K214" s="4" t="s">
        <v>141</v>
      </c>
      <c r="L214" s="7" t="s">
        <v>312</v>
      </c>
      <c r="M214" s="11" t="str">
        <f t="shared" si="9"/>
        <v>4C</v>
      </c>
      <c r="N214" s="1" t="str">
        <f t="shared" si="10"/>
        <v>006Rg00000aM4mbIAC</v>
      </c>
    </row>
    <row r="215" spans="1:14" ht="29.15" x14ac:dyDescent="0.4">
      <c r="A215" s="1">
        <v>4</v>
      </c>
      <c r="B215" s="1">
        <v>5</v>
      </c>
      <c r="C215" s="4" t="s">
        <v>210</v>
      </c>
      <c r="D215" s="1" t="s">
        <v>2</v>
      </c>
      <c r="E215" s="4"/>
      <c r="F215" s="4" t="s">
        <v>153</v>
      </c>
      <c r="G215" s="11" t="str">
        <f>_xlfn.XLOOKUP(M215,'Code Catagories'!A:A,'Code Catagories'!C:C)</f>
        <v>4E. Availability / Serviceability</v>
      </c>
      <c r="H215" s="4" t="s">
        <v>134</v>
      </c>
      <c r="I215" s="4" t="s">
        <v>236</v>
      </c>
      <c r="J215" s="4" t="s">
        <v>203</v>
      </c>
      <c r="K215" s="4" t="s">
        <v>141</v>
      </c>
      <c r="L215" s="7" t="s">
        <v>313</v>
      </c>
      <c r="M215" s="11" t="str">
        <f t="shared" si="9"/>
        <v>4E</v>
      </c>
      <c r="N215" s="1" t="str">
        <f t="shared" si="10"/>
        <v>006Rg00000aM4mbIAC</v>
      </c>
    </row>
    <row r="216" spans="1:14" ht="29.15" x14ac:dyDescent="0.4">
      <c r="A216" s="1">
        <v>4</v>
      </c>
      <c r="B216" s="1">
        <v>5</v>
      </c>
      <c r="C216" s="4" t="s">
        <v>210</v>
      </c>
      <c r="D216" s="1" t="s">
        <v>2</v>
      </c>
      <c r="E216" s="4"/>
      <c r="F216" s="4" t="s">
        <v>192</v>
      </c>
      <c r="G216" s="11" t="str">
        <f>_xlfn.XLOOKUP(M216,'Code Catagories'!A:A,'Code Catagories'!C:C)</f>
        <v>4D. Contract Mechanics</v>
      </c>
      <c r="H216" s="4" t="s">
        <v>134</v>
      </c>
      <c r="I216" s="4" t="s">
        <v>193</v>
      </c>
      <c r="J216" s="4" t="s">
        <v>203</v>
      </c>
      <c r="K216" s="4" t="s">
        <v>141</v>
      </c>
      <c r="L216" s="7" t="s">
        <v>314</v>
      </c>
      <c r="M216" s="11" t="str">
        <f t="shared" si="9"/>
        <v>4D</v>
      </c>
      <c r="N216" s="1" t="str">
        <f t="shared" si="10"/>
        <v>006Rg00000aM4mbIAC</v>
      </c>
    </row>
    <row r="217" spans="1:14" x14ac:dyDescent="0.4">
      <c r="A217" s="1">
        <v>4</v>
      </c>
      <c r="B217" s="1">
        <v>5</v>
      </c>
      <c r="C217" s="4" t="s">
        <v>211</v>
      </c>
      <c r="D217" s="1" t="s">
        <v>2</v>
      </c>
      <c r="E217" s="4"/>
      <c r="F217" s="4" t="s">
        <v>134</v>
      </c>
      <c r="G217" s="11" t="e">
        <f>_xlfn.XLOOKUP(M217,'Code Catagories'!A:A,'Code Catagories'!C:C)</f>
        <v>#N/A</v>
      </c>
      <c r="H217" s="4" t="s">
        <v>134</v>
      </c>
      <c r="I217" s="4" t="s">
        <v>134</v>
      </c>
      <c r="J217" s="4" t="s">
        <v>134</v>
      </c>
      <c r="K217" s="4" t="s">
        <v>134</v>
      </c>
      <c r="L217" s="7" t="s">
        <v>135</v>
      </c>
      <c r="M217" s="11" t="str">
        <f t="shared" si="9"/>
        <v>—</v>
      </c>
      <c r="N217" s="1" t="str">
        <f t="shared" si="10"/>
        <v>006Rg00000aM9HdIAK</v>
      </c>
    </row>
    <row r="218" spans="1:14" ht="29.15" x14ac:dyDescent="0.4">
      <c r="A218" s="1">
        <v>4</v>
      </c>
      <c r="B218" s="1">
        <v>5</v>
      </c>
      <c r="C218" s="4" t="s">
        <v>212</v>
      </c>
      <c r="D218" s="1" t="s">
        <v>1</v>
      </c>
      <c r="E218" s="4"/>
      <c r="F218" s="4" t="s">
        <v>137</v>
      </c>
      <c r="G218" s="11" t="str">
        <f>_xlfn.XLOOKUP(M218,'Code Catagories'!A:A,'Code Catagories'!C:C)</f>
        <v>4B. Ancillary Fees</v>
      </c>
      <c r="H218" s="4" t="s">
        <v>134</v>
      </c>
      <c r="I218" s="4" t="s">
        <v>247</v>
      </c>
      <c r="J218" s="4" t="s">
        <v>203</v>
      </c>
      <c r="K218" s="4" t="s">
        <v>141</v>
      </c>
      <c r="L218" s="7" t="s">
        <v>315</v>
      </c>
      <c r="M218" s="11" t="str">
        <f t="shared" si="9"/>
        <v>4B</v>
      </c>
      <c r="N218" s="1" t="str">
        <f t="shared" si="10"/>
        <v>006Rg00000aMejdIAC</v>
      </c>
    </row>
    <row r="219" spans="1:14" ht="29.15" x14ac:dyDescent="0.4">
      <c r="A219" s="1">
        <v>4</v>
      </c>
      <c r="B219" s="1">
        <v>5</v>
      </c>
      <c r="C219" s="4" t="s">
        <v>213</v>
      </c>
      <c r="D219" s="1" t="s">
        <v>1</v>
      </c>
      <c r="E219" s="4"/>
      <c r="F219" s="4" t="s">
        <v>137</v>
      </c>
      <c r="G219" s="11" t="str">
        <f>_xlfn.XLOOKUP(M219,'Code Catagories'!A:A,'Code Catagories'!C:C)</f>
        <v>4B. Ancillary Fees</v>
      </c>
      <c r="H219" s="4" t="s">
        <v>134</v>
      </c>
      <c r="I219" s="4" t="s">
        <v>247</v>
      </c>
      <c r="J219" s="4" t="s">
        <v>245</v>
      </c>
      <c r="K219" s="4" t="s">
        <v>141</v>
      </c>
      <c r="L219" s="7" t="s">
        <v>316</v>
      </c>
      <c r="M219" s="11" t="str">
        <f t="shared" si="9"/>
        <v>4B</v>
      </c>
      <c r="N219" s="1" t="str">
        <f t="shared" si="10"/>
        <v>006Rg00000aMG7rIAG</v>
      </c>
    </row>
    <row r="220" spans="1:14" x14ac:dyDescent="0.4">
      <c r="A220" s="1">
        <v>4</v>
      </c>
      <c r="B220" s="1">
        <v>6</v>
      </c>
      <c r="C220" s="4" t="s">
        <v>317</v>
      </c>
      <c r="D220" s="1" t="s">
        <v>1</v>
      </c>
      <c r="E220" s="4"/>
      <c r="F220" s="4" t="s">
        <v>134</v>
      </c>
      <c r="G220" s="11" t="e">
        <f>_xlfn.XLOOKUP(M220,'Code Catagories'!A:A,'Code Catagories'!C:C)</f>
        <v>#N/A</v>
      </c>
      <c r="H220" s="4" t="s">
        <v>134</v>
      </c>
      <c r="I220" s="4" t="s">
        <v>134</v>
      </c>
      <c r="J220" s="4" t="s">
        <v>134</v>
      </c>
      <c r="K220" s="4" t="s">
        <v>134</v>
      </c>
      <c r="L220" s="7" t="s">
        <v>135</v>
      </c>
      <c r="M220" s="11" t="str">
        <f t="shared" si="9"/>
        <v>—</v>
      </c>
      <c r="N220" s="1" t="str">
        <f t="shared" si="10"/>
        <v>006Rg00000amMcfIAE</v>
      </c>
    </row>
    <row r="221" spans="1:14" x14ac:dyDescent="0.4">
      <c r="A221" s="1">
        <v>4</v>
      </c>
      <c r="B221" s="1">
        <v>6</v>
      </c>
      <c r="C221" s="4" t="s">
        <v>318</v>
      </c>
      <c r="D221" s="1" t="s">
        <v>2</v>
      </c>
      <c r="E221" s="4"/>
      <c r="F221" s="4" t="s">
        <v>134</v>
      </c>
      <c r="G221" s="11" t="e">
        <f>_xlfn.XLOOKUP(M221,'Code Catagories'!A:A,'Code Catagories'!C:C)</f>
        <v>#N/A</v>
      </c>
      <c r="H221" s="4" t="s">
        <v>134</v>
      </c>
      <c r="I221" s="4" t="s">
        <v>134</v>
      </c>
      <c r="J221" s="4" t="s">
        <v>134</v>
      </c>
      <c r="K221" s="4" t="s">
        <v>134</v>
      </c>
      <c r="L221" s="7" t="s">
        <v>135</v>
      </c>
      <c r="M221" s="11" t="str">
        <f t="shared" si="9"/>
        <v>—</v>
      </c>
      <c r="N221" s="1" t="str">
        <f t="shared" si="10"/>
        <v>006Rg00000ammVRIAY</v>
      </c>
    </row>
    <row r="222" spans="1:14" x14ac:dyDescent="0.4">
      <c r="A222" s="1">
        <v>4</v>
      </c>
      <c r="B222" s="1">
        <v>6</v>
      </c>
      <c r="C222" s="4" t="s">
        <v>319</v>
      </c>
      <c r="D222" s="1" t="s">
        <v>1</v>
      </c>
      <c r="E222" s="4"/>
      <c r="F222" s="4" t="s">
        <v>134</v>
      </c>
      <c r="G222" s="11" t="e">
        <f>_xlfn.XLOOKUP(M222,'Code Catagories'!A:A,'Code Catagories'!C:C)</f>
        <v>#N/A</v>
      </c>
      <c r="H222" s="4" t="s">
        <v>134</v>
      </c>
      <c r="I222" s="4" t="s">
        <v>134</v>
      </c>
      <c r="J222" s="4" t="s">
        <v>134</v>
      </c>
      <c r="K222" s="4" t="s">
        <v>134</v>
      </c>
      <c r="L222" s="7" t="s">
        <v>135</v>
      </c>
      <c r="M222" s="11" t="str">
        <f t="shared" si="9"/>
        <v>—</v>
      </c>
      <c r="N222" s="1" t="str">
        <f t="shared" si="10"/>
        <v>006Rg00000aMnYPIA0</v>
      </c>
    </row>
    <row r="223" spans="1:14" ht="43.75" x14ac:dyDescent="0.4">
      <c r="A223" s="1">
        <v>4</v>
      </c>
      <c r="B223" s="1">
        <v>6</v>
      </c>
      <c r="C223" s="4" t="s">
        <v>320</v>
      </c>
      <c r="D223" s="1" t="s">
        <v>2</v>
      </c>
      <c r="E223" s="4"/>
      <c r="F223" s="4" t="s">
        <v>222</v>
      </c>
      <c r="G223" s="11" t="str">
        <f>_xlfn.XLOOKUP(M223,'Code Catagories'!A:A,'Code Catagories'!C:C)</f>
        <v>4C. Commercial Model</v>
      </c>
      <c r="H223" s="4" t="s">
        <v>134</v>
      </c>
      <c r="I223" s="4" t="s">
        <v>321</v>
      </c>
      <c r="J223" s="4" t="s">
        <v>203</v>
      </c>
      <c r="K223" s="4" t="s">
        <v>148</v>
      </c>
      <c r="L223" s="7" t="s">
        <v>322</v>
      </c>
      <c r="M223" s="11" t="str">
        <f t="shared" si="9"/>
        <v>4C</v>
      </c>
      <c r="N223" s="1" t="str">
        <f t="shared" si="10"/>
        <v>006Rg00000aMSiUIAW</v>
      </c>
    </row>
    <row r="224" spans="1:14" ht="29.15" x14ac:dyDescent="0.4">
      <c r="A224" s="1">
        <v>4</v>
      </c>
      <c r="B224" s="1">
        <v>6</v>
      </c>
      <c r="C224" s="4" t="s">
        <v>320</v>
      </c>
      <c r="D224" s="1" t="s">
        <v>2</v>
      </c>
      <c r="E224" s="4"/>
      <c r="F224" s="4" t="s">
        <v>137</v>
      </c>
      <c r="G224" s="11" t="str">
        <f>_xlfn.XLOOKUP(M224,'Code Catagories'!A:A,'Code Catagories'!C:C)</f>
        <v>4B. Ancillary Fees</v>
      </c>
      <c r="H224" s="4" t="s">
        <v>134</v>
      </c>
      <c r="I224" s="4" t="s">
        <v>207</v>
      </c>
      <c r="J224" s="4" t="s">
        <v>224</v>
      </c>
      <c r="K224" s="4" t="s">
        <v>148</v>
      </c>
      <c r="L224" s="7" t="s">
        <v>323</v>
      </c>
      <c r="M224" s="11" t="str">
        <f t="shared" si="9"/>
        <v>4B</v>
      </c>
      <c r="N224" s="1" t="str">
        <f t="shared" si="10"/>
        <v>006Rg00000aMSiUIAW</v>
      </c>
    </row>
    <row r="225" spans="1:14" x14ac:dyDescent="0.4">
      <c r="A225" s="1">
        <v>4</v>
      </c>
      <c r="B225" s="1">
        <v>6</v>
      </c>
      <c r="C225" s="4" t="s">
        <v>324</v>
      </c>
      <c r="D225" s="1" t="s">
        <v>2</v>
      </c>
      <c r="E225" s="4"/>
      <c r="F225" s="4" t="s">
        <v>134</v>
      </c>
      <c r="G225" s="11" t="e">
        <f>_xlfn.XLOOKUP(M225,'Code Catagories'!A:A,'Code Catagories'!C:C)</f>
        <v>#N/A</v>
      </c>
      <c r="H225" s="4" t="s">
        <v>134</v>
      </c>
      <c r="I225" s="4" t="s">
        <v>134</v>
      </c>
      <c r="J225" s="4" t="s">
        <v>134</v>
      </c>
      <c r="K225" s="4" t="s">
        <v>134</v>
      </c>
      <c r="L225" s="7" t="s">
        <v>135</v>
      </c>
      <c r="M225" s="11" t="str">
        <f t="shared" si="9"/>
        <v>—</v>
      </c>
      <c r="N225" s="1" t="str">
        <f t="shared" si="10"/>
        <v>006Rg00000aMuwTIAS</v>
      </c>
    </row>
    <row r="226" spans="1:14" x14ac:dyDescent="0.4">
      <c r="A226" s="1">
        <v>4</v>
      </c>
      <c r="B226" s="1">
        <v>6</v>
      </c>
      <c r="C226" s="4" t="s">
        <v>325</v>
      </c>
      <c r="D226" s="1" t="s">
        <v>1</v>
      </c>
      <c r="E226" s="4"/>
      <c r="F226" s="4" t="s">
        <v>134</v>
      </c>
      <c r="G226" s="11" t="e">
        <f>_xlfn.XLOOKUP(M226,'Code Catagories'!A:A,'Code Catagories'!C:C)</f>
        <v>#N/A</v>
      </c>
      <c r="H226" s="4" t="s">
        <v>134</v>
      </c>
      <c r="I226" s="4" t="s">
        <v>134</v>
      </c>
      <c r="J226" s="4" t="s">
        <v>134</v>
      </c>
      <c r="K226" s="4" t="s">
        <v>134</v>
      </c>
      <c r="L226" t="s">
        <v>135</v>
      </c>
      <c r="M226" s="11" t="str">
        <f t="shared" si="9"/>
        <v>—</v>
      </c>
      <c r="N226" s="1" t="str">
        <f t="shared" si="10"/>
        <v>006Rg00000aMVy5IAG</v>
      </c>
    </row>
    <row r="227" spans="1:14" x14ac:dyDescent="0.4">
      <c r="A227" s="1">
        <v>4</v>
      </c>
      <c r="B227" s="1">
        <v>6</v>
      </c>
      <c r="C227" s="4" t="s">
        <v>16</v>
      </c>
      <c r="D227" s="1" t="s">
        <v>1</v>
      </c>
      <c r="E227" s="4"/>
      <c r="F227" s="4" t="s">
        <v>222</v>
      </c>
      <c r="G227" s="11" t="str">
        <f>_xlfn.XLOOKUP(M227,'Code Catagories'!A:A,'Code Catagories'!C:C)</f>
        <v>4C. Commercial Model</v>
      </c>
      <c r="H227" s="4" t="s">
        <v>134</v>
      </c>
      <c r="I227" s="4" t="s">
        <v>321</v>
      </c>
      <c r="J227" s="4" t="s">
        <v>203</v>
      </c>
      <c r="K227" s="4" t="s">
        <v>148</v>
      </c>
      <c r="L227" t="s">
        <v>326</v>
      </c>
      <c r="M227" s="11" t="str">
        <f t="shared" si="9"/>
        <v>4C</v>
      </c>
      <c r="N227" s="1" t="str">
        <f t="shared" si="10"/>
        <v>006Rg00000aMXF7IAO</v>
      </c>
    </row>
    <row r="228" spans="1:14" x14ac:dyDescent="0.4">
      <c r="A228" s="1">
        <v>4</v>
      </c>
      <c r="B228" s="1">
        <v>6</v>
      </c>
      <c r="C228" s="4" t="s">
        <v>327</v>
      </c>
      <c r="D228" s="1" t="s">
        <v>2</v>
      </c>
      <c r="E228" s="4"/>
      <c r="F228" s="4" t="s">
        <v>166</v>
      </c>
      <c r="G228" s="11" t="str">
        <f>_xlfn.XLOOKUP(M228,'Code Catagories'!A:A,'Code Catagories'!C:C)</f>
        <v>4F. Promotion Ineligibility</v>
      </c>
      <c r="H228" s="4" t="s">
        <v>138</v>
      </c>
      <c r="I228" s="4" t="s">
        <v>328</v>
      </c>
      <c r="J228" s="4" t="s">
        <v>140</v>
      </c>
      <c r="K228" s="4" t="s">
        <v>148</v>
      </c>
      <c r="L228" t="s">
        <v>329</v>
      </c>
      <c r="M228" s="11" t="str">
        <f t="shared" si="9"/>
        <v>4F</v>
      </c>
      <c r="N228" s="1" t="str">
        <f t="shared" si="10"/>
        <v>006Rg00000aN0HAIA0</v>
      </c>
    </row>
    <row r="229" spans="1:14" x14ac:dyDescent="0.4">
      <c r="A229" s="1">
        <v>4</v>
      </c>
      <c r="B229" s="1">
        <v>6</v>
      </c>
      <c r="C229" s="4" t="s">
        <v>330</v>
      </c>
      <c r="D229" s="1" t="s">
        <v>1</v>
      </c>
      <c r="E229" s="4"/>
      <c r="F229" s="4" t="s">
        <v>145</v>
      </c>
      <c r="G229" s="11" t="str">
        <f>_xlfn.XLOOKUP(M229,'Code Catagories'!A:A,'Code Catagories'!C:C)</f>
        <v>4A. Rate Uncompetitive</v>
      </c>
      <c r="H229" s="4" t="s">
        <v>138</v>
      </c>
      <c r="I229" s="4" t="s">
        <v>241</v>
      </c>
      <c r="J229" s="4" t="s">
        <v>147</v>
      </c>
      <c r="K229" s="4" t="s">
        <v>148</v>
      </c>
      <c r="L229" t="s">
        <v>331</v>
      </c>
      <c r="M229" s="11" t="str">
        <f t="shared" si="9"/>
        <v>4A</v>
      </c>
      <c r="N229" s="1" t="str">
        <f t="shared" si="10"/>
        <v>006Rg00000aNApyIAG</v>
      </c>
    </row>
    <row r="230" spans="1:14" x14ac:dyDescent="0.4">
      <c r="A230" s="1">
        <v>4</v>
      </c>
      <c r="B230" s="1">
        <v>6</v>
      </c>
      <c r="C230" s="4" t="s">
        <v>332</v>
      </c>
      <c r="D230" s="1" t="s">
        <v>2</v>
      </c>
      <c r="E230" s="4"/>
      <c r="F230" s="4" t="s">
        <v>222</v>
      </c>
      <c r="G230" s="11" t="str">
        <f>_xlfn.XLOOKUP(M230,'Code Catagories'!A:A,'Code Catagories'!C:C)</f>
        <v>4C. Commercial Model</v>
      </c>
      <c r="H230" s="4" t="s">
        <v>134</v>
      </c>
      <c r="I230" s="4" t="s">
        <v>321</v>
      </c>
      <c r="J230" s="4" t="s">
        <v>203</v>
      </c>
      <c r="K230" s="4" t="s">
        <v>148</v>
      </c>
      <c r="L230" t="s">
        <v>333</v>
      </c>
      <c r="M230" s="11" t="str">
        <f t="shared" si="9"/>
        <v>4C</v>
      </c>
      <c r="N230" s="1" t="str">
        <f t="shared" si="10"/>
        <v>006Rg00000aNDavIAG</v>
      </c>
    </row>
    <row r="231" spans="1:14" x14ac:dyDescent="0.4">
      <c r="A231" s="1">
        <v>4</v>
      </c>
      <c r="B231" s="1">
        <v>6</v>
      </c>
      <c r="C231" s="4" t="s">
        <v>334</v>
      </c>
      <c r="D231" s="1" t="s">
        <v>2</v>
      </c>
      <c r="E231" s="4"/>
      <c r="F231" s="4" t="s">
        <v>134</v>
      </c>
      <c r="G231" s="11" t="e">
        <f>_xlfn.XLOOKUP(M231,'Code Catagories'!A:A,'Code Catagories'!C:C)</f>
        <v>#N/A</v>
      </c>
      <c r="H231" s="4" t="s">
        <v>134</v>
      </c>
      <c r="I231" s="4" t="s">
        <v>134</v>
      </c>
      <c r="J231" s="4" t="s">
        <v>134</v>
      </c>
      <c r="K231" s="4" t="s">
        <v>134</v>
      </c>
      <c r="L231" t="s">
        <v>135</v>
      </c>
      <c r="M231" s="11" t="str">
        <f t="shared" si="9"/>
        <v>—</v>
      </c>
      <c r="N231" s="1" t="str">
        <f t="shared" si="10"/>
        <v>006Rg00000anFCTIA2</v>
      </c>
    </row>
    <row r="232" spans="1:14" x14ac:dyDescent="0.4">
      <c r="A232" s="1">
        <v>4</v>
      </c>
      <c r="B232" s="1">
        <v>6</v>
      </c>
      <c r="C232" s="4" t="s">
        <v>335</v>
      </c>
      <c r="D232" s="1" t="s">
        <v>1</v>
      </c>
      <c r="E232" s="4"/>
      <c r="F232" s="4" t="s">
        <v>134</v>
      </c>
      <c r="G232" s="11" t="e">
        <f>_xlfn.XLOOKUP(M232,'Code Catagories'!A:A,'Code Catagories'!C:C)</f>
        <v>#N/A</v>
      </c>
      <c r="H232" s="4" t="s">
        <v>134</v>
      </c>
      <c r="I232" s="4" t="s">
        <v>134</v>
      </c>
      <c r="J232" s="4" t="s">
        <v>134</v>
      </c>
      <c r="K232" s="4" t="s">
        <v>134</v>
      </c>
      <c r="L232" t="s">
        <v>135</v>
      </c>
      <c r="M232" s="11" t="str">
        <f t="shared" si="9"/>
        <v>—</v>
      </c>
      <c r="N232" s="1" t="str">
        <f t="shared" si="10"/>
        <v>006Rg00000aNH3SIAW</v>
      </c>
    </row>
    <row r="233" spans="1:14" x14ac:dyDescent="0.4">
      <c r="A233" s="1">
        <v>4</v>
      </c>
      <c r="B233" s="1">
        <v>6</v>
      </c>
      <c r="C233" s="4" t="s">
        <v>336</v>
      </c>
      <c r="D233" s="1" t="s">
        <v>1</v>
      </c>
      <c r="E233" s="4"/>
      <c r="F233" s="4" t="s">
        <v>134</v>
      </c>
      <c r="G233" s="11" t="e">
        <f>_xlfn.XLOOKUP(M233,'Code Catagories'!A:A,'Code Catagories'!C:C)</f>
        <v>#N/A</v>
      </c>
      <c r="H233" s="4" t="s">
        <v>134</v>
      </c>
      <c r="I233" s="4" t="s">
        <v>134</v>
      </c>
      <c r="J233" s="4" t="s">
        <v>134</v>
      </c>
      <c r="K233" s="4" t="s">
        <v>134</v>
      </c>
      <c r="L233" t="s">
        <v>135</v>
      </c>
      <c r="M233" s="11" t="str">
        <f t="shared" si="9"/>
        <v>—</v>
      </c>
      <c r="N233" s="1" t="str">
        <f t="shared" si="10"/>
        <v>006Rg00000any4jIAA</v>
      </c>
    </row>
    <row r="234" spans="1:14" x14ac:dyDescent="0.4">
      <c r="A234" s="1">
        <v>4</v>
      </c>
      <c r="B234" s="1">
        <v>6</v>
      </c>
      <c r="C234" s="4" t="s">
        <v>337</v>
      </c>
      <c r="D234" s="1" t="s">
        <v>2</v>
      </c>
      <c r="E234" s="4"/>
      <c r="F234" s="4" t="s">
        <v>134</v>
      </c>
      <c r="G234" s="11" t="e">
        <f>_xlfn.XLOOKUP(M234,'Code Catagories'!A:A,'Code Catagories'!C:C)</f>
        <v>#N/A</v>
      </c>
      <c r="H234" s="4" t="s">
        <v>134</v>
      </c>
      <c r="I234" s="4" t="s">
        <v>134</v>
      </c>
      <c r="J234" s="4" t="s">
        <v>134</v>
      </c>
      <c r="K234" s="4" t="s">
        <v>134</v>
      </c>
      <c r="L234" t="s">
        <v>135</v>
      </c>
      <c r="M234" s="11" t="str">
        <f t="shared" si="9"/>
        <v>—</v>
      </c>
      <c r="N234" s="1" t="str">
        <f t="shared" si="10"/>
        <v>006Rg00000aOg8LIAS</v>
      </c>
    </row>
    <row r="235" spans="1:14" x14ac:dyDescent="0.4">
      <c r="A235" s="1">
        <v>4</v>
      </c>
      <c r="B235" s="1">
        <v>6</v>
      </c>
      <c r="C235" s="4" t="s">
        <v>338</v>
      </c>
      <c r="D235" s="1" t="s">
        <v>2</v>
      </c>
      <c r="E235" s="4"/>
      <c r="F235" s="4" t="s">
        <v>134</v>
      </c>
      <c r="G235" s="11" t="e">
        <f>_xlfn.XLOOKUP(M235,'Code Catagories'!A:A,'Code Catagories'!C:C)</f>
        <v>#N/A</v>
      </c>
      <c r="H235" s="4" t="s">
        <v>134</v>
      </c>
      <c r="I235" s="4" t="s">
        <v>134</v>
      </c>
      <c r="J235" s="4" t="s">
        <v>134</v>
      </c>
      <c r="K235" s="4" t="s">
        <v>134</v>
      </c>
      <c r="L235" t="s">
        <v>135</v>
      </c>
      <c r="M235" s="11" t="str">
        <f t="shared" si="9"/>
        <v>—</v>
      </c>
      <c r="N235" s="1" t="str">
        <f t="shared" si="10"/>
        <v>006Rg00000aOrBMIA0</v>
      </c>
    </row>
    <row r="236" spans="1:14" x14ac:dyDescent="0.4">
      <c r="A236" s="1">
        <v>4</v>
      </c>
      <c r="B236" s="1">
        <v>6</v>
      </c>
      <c r="C236" s="4" t="s">
        <v>339</v>
      </c>
      <c r="D236" s="1" t="s">
        <v>1</v>
      </c>
      <c r="E236" s="4"/>
      <c r="F236" s="4" t="s">
        <v>166</v>
      </c>
      <c r="G236" s="11" t="str">
        <f>_xlfn.XLOOKUP(M236,'Code Catagories'!A:A,'Code Catagories'!C:C)</f>
        <v>4F. Promotion Ineligibility</v>
      </c>
      <c r="H236" s="4" t="s">
        <v>134</v>
      </c>
      <c r="I236" s="4" t="s">
        <v>340</v>
      </c>
      <c r="J236" s="4" t="s">
        <v>203</v>
      </c>
      <c r="K236" s="4" t="s">
        <v>148</v>
      </c>
      <c r="L236" t="s">
        <v>341</v>
      </c>
      <c r="M236" s="11" t="str">
        <f t="shared" si="9"/>
        <v>4F</v>
      </c>
      <c r="N236" s="1" t="str">
        <f t="shared" si="10"/>
        <v>006Rg00000aOsH3IAK</v>
      </c>
    </row>
    <row r="237" spans="1:14" x14ac:dyDescent="0.4">
      <c r="A237" s="1">
        <v>4</v>
      </c>
      <c r="B237" s="1">
        <v>6</v>
      </c>
      <c r="C237" s="4" t="s">
        <v>342</v>
      </c>
      <c r="D237" s="1" t="s">
        <v>1</v>
      </c>
      <c r="E237" s="4"/>
      <c r="F237" s="4" t="s">
        <v>134</v>
      </c>
      <c r="G237" s="11" t="e">
        <f>_xlfn.XLOOKUP(M237,'Code Catagories'!A:A,'Code Catagories'!C:C)</f>
        <v>#N/A</v>
      </c>
      <c r="H237" s="4" t="s">
        <v>134</v>
      </c>
      <c r="I237" s="4" t="s">
        <v>134</v>
      </c>
      <c r="J237" s="4" t="s">
        <v>134</v>
      </c>
      <c r="K237" s="4" t="s">
        <v>134</v>
      </c>
      <c r="L237" t="s">
        <v>135</v>
      </c>
      <c r="M237" s="11" t="str">
        <f t="shared" si="9"/>
        <v>—</v>
      </c>
      <c r="N237" s="1" t="str">
        <f t="shared" si="10"/>
        <v>006Rg00000aP0zOIAS</v>
      </c>
    </row>
    <row r="238" spans="1:14" ht="29.15" x14ac:dyDescent="0.4">
      <c r="A238" s="1">
        <v>4</v>
      </c>
      <c r="B238" s="1">
        <v>6</v>
      </c>
      <c r="C238" s="4" t="s">
        <v>343</v>
      </c>
      <c r="D238" s="1" t="s">
        <v>1</v>
      </c>
      <c r="E238" s="4"/>
      <c r="F238" s="4" t="s">
        <v>153</v>
      </c>
      <c r="G238" s="11" t="str">
        <f>_xlfn.XLOOKUP(M238,'Code Catagories'!A:A,'Code Catagories'!C:C)</f>
        <v>4E. Availability / Serviceability</v>
      </c>
      <c r="H238" s="4" t="s">
        <v>138</v>
      </c>
      <c r="I238" s="4" t="s">
        <v>154</v>
      </c>
      <c r="J238" s="4" t="s">
        <v>147</v>
      </c>
      <c r="K238" s="4" t="s">
        <v>148</v>
      </c>
      <c r="L238" t="s">
        <v>344</v>
      </c>
      <c r="M238" s="11" t="str">
        <f t="shared" si="9"/>
        <v>4E</v>
      </c>
      <c r="N238" s="1" t="str">
        <f t="shared" si="10"/>
        <v>006Rg00000aP7CuIAK</v>
      </c>
    </row>
    <row r="239" spans="1:14" ht="29.15" x14ac:dyDescent="0.4">
      <c r="A239" s="1">
        <v>5</v>
      </c>
      <c r="B239" s="1">
        <v>14</v>
      </c>
      <c r="C239" s="1" t="s">
        <v>586</v>
      </c>
      <c r="D239" s="1" t="s">
        <v>1</v>
      </c>
      <c r="E239" s="1" t="s">
        <v>587</v>
      </c>
      <c r="F239" s="1" t="s">
        <v>192</v>
      </c>
      <c r="G239" s="11" t="str">
        <f>_xlfn.XLOOKUP(M239,'Code Catagories'!A:A,'Code Catagories'!C:C)</f>
        <v>4D. Contract Mechanics</v>
      </c>
      <c r="H239" s="1" t="s">
        <v>138</v>
      </c>
      <c r="I239" s="1" t="s">
        <v>394</v>
      </c>
      <c r="J239" s="1" t="s">
        <v>147</v>
      </c>
      <c r="K239" s="1" t="s">
        <v>148</v>
      </c>
      <c r="L239" s="10" t="s">
        <v>588</v>
      </c>
      <c r="M239" s="11" t="str">
        <f t="shared" ref="M239:M269" si="11">TRIM(F239)</f>
        <v>4D</v>
      </c>
      <c r="N239" s="1" t="str">
        <f t="shared" ref="N239:N269" si="12">TRIM(C239)</f>
        <v>006Rg00000bbIFCIA2</v>
      </c>
    </row>
    <row r="240" spans="1:14" x14ac:dyDescent="0.4">
      <c r="A240" s="1">
        <v>5</v>
      </c>
      <c r="B240" s="1">
        <v>14</v>
      </c>
      <c r="C240" s="1" t="s">
        <v>589</v>
      </c>
      <c r="D240" s="1" t="s">
        <v>2</v>
      </c>
      <c r="E240" s="1" t="s">
        <v>590</v>
      </c>
      <c r="F240" s="1" t="s">
        <v>134</v>
      </c>
      <c r="G240" s="11" t="e">
        <f>_xlfn.XLOOKUP(M240,'Code Catagories'!A:A,'Code Catagories'!C:C)</f>
        <v>#N/A</v>
      </c>
      <c r="H240" s="1" t="s">
        <v>134</v>
      </c>
      <c r="I240" s="1" t="s">
        <v>134</v>
      </c>
      <c r="J240" s="1" t="s">
        <v>134</v>
      </c>
      <c r="K240" s="1" t="s">
        <v>134</v>
      </c>
      <c r="L240" s="10" t="s">
        <v>135</v>
      </c>
      <c r="M240" s="11" t="str">
        <f t="shared" si="11"/>
        <v>—</v>
      </c>
      <c r="N240" s="1" t="str">
        <f t="shared" si="12"/>
        <v>006Rg00000bbiROIAY</v>
      </c>
    </row>
    <row r="241" spans="1:14" x14ac:dyDescent="0.4">
      <c r="A241" s="1">
        <v>5</v>
      </c>
      <c r="B241" s="1">
        <v>14</v>
      </c>
      <c r="C241" s="1" t="s">
        <v>591</v>
      </c>
      <c r="D241" s="1" t="s">
        <v>1</v>
      </c>
      <c r="E241" s="1" t="s">
        <v>592</v>
      </c>
      <c r="F241" s="1" t="s">
        <v>134</v>
      </c>
      <c r="G241" s="11" t="e">
        <f>_xlfn.XLOOKUP(M241,'Code Catagories'!A:A,'Code Catagories'!C:C)</f>
        <v>#N/A</v>
      </c>
      <c r="H241" s="1" t="s">
        <v>134</v>
      </c>
      <c r="I241" s="1" t="s">
        <v>134</v>
      </c>
      <c r="J241" s="1" t="s">
        <v>134</v>
      </c>
      <c r="K241" s="1" t="s">
        <v>134</v>
      </c>
      <c r="L241" s="10" t="s">
        <v>135</v>
      </c>
      <c r="M241" s="11" t="str">
        <f t="shared" si="11"/>
        <v>—</v>
      </c>
      <c r="N241" s="1" t="str">
        <f t="shared" si="12"/>
        <v>006Rg00000bbjwvIAA</v>
      </c>
    </row>
    <row r="242" spans="1:14" x14ac:dyDescent="0.4">
      <c r="A242" s="1">
        <v>5</v>
      </c>
      <c r="B242" s="1">
        <v>14</v>
      </c>
      <c r="C242" s="1" t="s">
        <v>593</v>
      </c>
      <c r="D242" s="1" t="s">
        <v>1</v>
      </c>
      <c r="E242" s="1" t="s">
        <v>594</v>
      </c>
      <c r="F242" s="1" t="s">
        <v>134</v>
      </c>
      <c r="G242" s="11" t="e">
        <f>_xlfn.XLOOKUP(M242,'Code Catagories'!A:A,'Code Catagories'!C:C)</f>
        <v>#N/A</v>
      </c>
      <c r="H242" s="1" t="s">
        <v>134</v>
      </c>
      <c r="I242" s="1" t="s">
        <v>134</v>
      </c>
      <c r="J242" s="1" t="s">
        <v>134</v>
      </c>
      <c r="K242" s="1" t="s">
        <v>134</v>
      </c>
      <c r="L242" s="10" t="s">
        <v>135</v>
      </c>
      <c r="M242" s="11" t="str">
        <f t="shared" si="11"/>
        <v>—</v>
      </c>
      <c r="N242" s="1" t="str">
        <f t="shared" si="12"/>
        <v>006Rg00000bBl1WIAS</v>
      </c>
    </row>
    <row r="243" spans="1:14" x14ac:dyDescent="0.4">
      <c r="A243" s="1">
        <v>5</v>
      </c>
      <c r="B243" s="1">
        <v>14</v>
      </c>
      <c r="C243" s="1" t="s">
        <v>595</v>
      </c>
      <c r="D243" s="1" t="s">
        <v>1</v>
      </c>
      <c r="E243" s="1" t="s">
        <v>596</v>
      </c>
      <c r="F243" s="1" t="s">
        <v>134</v>
      </c>
      <c r="G243" s="11" t="e">
        <f>_xlfn.XLOOKUP(M243,'Code Catagories'!A:A,'Code Catagories'!C:C)</f>
        <v>#N/A</v>
      </c>
      <c r="H243" s="1" t="s">
        <v>134</v>
      </c>
      <c r="I243" s="1" t="s">
        <v>134</v>
      </c>
      <c r="J243" s="1" t="s">
        <v>134</v>
      </c>
      <c r="K243" s="1" t="s">
        <v>134</v>
      </c>
      <c r="L243" s="10" t="s">
        <v>135</v>
      </c>
      <c r="M243" s="11" t="str">
        <f t="shared" si="11"/>
        <v>—</v>
      </c>
      <c r="N243" s="1" t="str">
        <f t="shared" si="12"/>
        <v>006Rg00000bBnPuIAK</v>
      </c>
    </row>
    <row r="244" spans="1:14" x14ac:dyDescent="0.4">
      <c r="A244" s="1">
        <v>5</v>
      </c>
      <c r="B244" s="1">
        <v>14</v>
      </c>
      <c r="C244" s="1" t="s">
        <v>597</v>
      </c>
      <c r="D244" s="1" t="s">
        <v>2</v>
      </c>
      <c r="E244" s="1" t="s">
        <v>598</v>
      </c>
      <c r="F244" s="1" t="s">
        <v>134</v>
      </c>
      <c r="G244" s="11" t="e">
        <f>_xlfn.XLOOKUP(M244,'Code Catagories'!A:A,'Code Catagories'!C:C)</f>
        <v>#N/A</v>
      </c>
      <c r="H244" s="1" t="s">
        <v>134</v>
      </c>
      <c r="I244" s="1" t="s">
        <v>134</v>
      </c>
      <c r="J244" s="1" t="s">
        <v>134</v>
      </c>
      <c r="K244" s="1" t="s">
        <v>134</v>
      </c>
      <c r="L244" s="10" t="s">
        <v>135</v>
      </c>
      <c r="M244" s="11" t="str">
        <f t="shared" si="11"/>
        <v>—</v>
      </c>
      <c r="N244" s="1" t="str">
        <f t="shared" si="12"/>
        <v>006Rg00000bBnuYIAS</v>
      </c>
    </row>
    <row r="245" spans="1:14" x14ac:dyDescent="0.4">
      <c r="A245" s="1">
        <v>5</v>
      </c>
      <c r="B245" s="1">
        <v>14</v>
      </c>
      <c r="C245" s="1" t="s">
        <v>599</v>
      </c>
      <c r="D245" s="1" t="s">
        <v>1</v>
      </c>
      <c r="E245" s="1" t="s">
        <v>134</v>
      </c>
      <c r="F245" s="1" t="s">
        <v>134</v>
      </c>
      <c r="G245" s="11" t="e">
        <f>_xlfn.XLOOKUP(M245,'Code Catagories'!A:A,'Code Catagories'!C:C)</f>
        <v>#N/A</v>
      </c>
      <c r="H245" s="1" t="s">
        <v>134</v>
      </c>
      <c r="I245" s="1" t="s">
        <v>134</v>
      </c>
      <c r="J245" s="1" t="s">
        <v>134</v>
      </c>
      <c r="K245" s="1" t="s">
        <v>134</v>
      </c>
      <c r="L245" s="10" t="s">
        <v>135</v>
      </c>
      <c r="M245" s="11" t="str">
        <f t="shared" si="11"/>
        <v>—</v>
      </c>
      <c r="N245" s="1" t="str">
        <f t="shared" si="12"/>
        <v>006Rg00000bC1kdIAC</v>
      </c>
    </row>
    <row r="246" spans="1:14" x14ac:dyDescent="0.4">
      <c r="A246" s="1">
        <v>5</v>
      </c>
      <c r="B246" s="1">
        <v>14</v>
      </c>
      <c r="C246" s="1" t="s">
        <v>600</v>
      </c>
      <c r="D246" s="1" t="s">
        <v>2</v>
      </c>
      <c r="E246" s="1" t="s">
        <v>134</v>
      </c>
      <c r="F246" s="1" t="s">
        <v>134</v>
      </c>
      <c r="G246" s="11" t="e">
        <f>_xlfn.XLOOKUP(M246,'Code Catagories'!A:A,'Code Catagories'!C:C)</f>
        <v>#N/A</v>
      </c>
      <c r="H246" s="1" t="s">
        <v>134</v>
      </c>
      <c r="I246" s="1" t="s">
        <v>134</v>
      </c>
      <c r="J246" s="1" t="s">
        <v>134</v>
      </c>
      <c r="K246" s="1" t="s">
        <v>134</v>
      </c>
      <c r="L246" s="10" t="s">
        <v>135</v>
      </c>
      <c r="M246" s="11" t="str">
        <f t="shared" si="11"/>
        <v>—</v>
      </c>
      <c r="N246" s="1" t="str">
        <f t="shared" si="12"/>
        <v>006Rg00000bC3b8IAC</v>
      </c>
    </row>
    <row r="247" spans="1:14" x14ac:dyDescent="0.4">
      <c r="A247" s="1">
        <v>5</v>
      </c>
      <c r="B247" s="1">
        <v>14</v>
      </c>
      <c r="C247" s="1" t="s">
        <v>601</v>
      </c>
      <c r="D247" s="1" t="s">
        <v>2</v>
      </c>
      <c r="E247" s="1" t="s">
        <v>602</v>
      </c>
      <c r="F247" s="1" t="s">
        <v>134</v>
      </c>
      <c r="G247" s="11" t="e">
        <f>_xlfn.XLOOKUP(M247,'Code Catagories'!A:A,'Code Catagories'!C:C)</f>
        <v>#N/A</v>
      </c>
      <c r="H247" s="1" t="s">
        <v>134</v>
      </c>
      <c r="I247" s="1" t="s">
        <v>134</v>
      </c>
      <c r="J247" s="1" t="s">
        <v>134</v>
      </c>
      <c r="K247" s="1" t="s">
        <v>134</v>
      </c>
      <c r="L247" s="10" t="s">
        <v>135</v>
      </c>
      <c r="M247" s="11" t="str">
        <f t="shared" si="11"/>
        <v>—</v>
      </c>
      <c r="N247" s="1" t="str">
        <f t="shared" si="12"/>
        <v>006Rg00000bC5oGIAS</v>
      </c>
    </row>
    <row r="248" spans="1:14" x14ac:dyDescent="0.4">
      <c r="A248" s="1">
        <v>5</v>
      </c>
      <c r="B248" s="1">
        <v>14</v>
      </c>
      <c r="C248" s="1" t="s">
        <v>603</v>
      </c>
      <c r="D248" s="1" t="s">
        <v>2</v>
      </c>
      <c r="E248" s="1" t="s">
        <v>604</v>
      </c>
      <c r="F248" s="1" t="s">
        <v>134</v>
      </c>
      <c r="G248" s="11" t="e">
        <f>_xlfn.XLOOKUP(M248,'Code Catagories'!A:A,'Code Catagories'!C:C)</f>
        <v>#N/A</v>
      </c>
      <c r="H248" s="1" t="s">
        <v>134</v>
      </c>
      <c r="I248" s="1" t="s">
        <v>134</v>
      </c>
      <c r="J248" s="1" t="s">
        <v>134</v>
      </c>
      <c r="K248" s="1" t="s">
        <v>134</v>
      </c>
      <c r="L248" s="10" t="s">
        <v>135</v>
      </c>
      <c r="M248" s="11" t="str">
        <f t="shared" si="11"/>
        <v>—</v>
      </c>
      <c r="N248" s="1" t="str">
        <f t="shared" si="12"/>
        <v>006Rg00000bCTH3IAO</v>
      </c>
    </row>
    <row r="249" spans="1:14" x14ac:dyDescent="0.4">
      <c r="A249" s="1">
        <v>5</v>
      </c>
      <c r="B249" s="1">
        <v>14</v>
      </c>
      <c r="C249" s="1" t="s">
        <v>605</v>
      </c>
      <c r="D249" s="1" t="s">
        <v>2</v>
      </c>
      <c r="E249" s="1" t="s">
        <v>606</v>
      </c>
      <c r="F249" s="1" t="s">
        <v>134</v>
      </c>
      <c r="G249" s="11" t="e">
        <f>_xlfn.XLOOKUP(M249,'Code Catagories'!A:A,'Code Catagories'!C:C)</f>
        <v>#N/A</v>
      </c>
      <c r="H249" s="1" t="s">
        <v>134</v>
      </c>
      <c r="I249" s="1" t="s">
        <v>134</v>
      </c>
      <c r="J249" s="1" t="s">
        <v>134</v>
      </c>
      <c r="K249" s="1" t="s">
        <v>134</v>
      </c>
      <c r="L249" s="10" t="s">
        <v>135</v>
      </c>
      <c r="M249" s="11" t="str">
        <f t="shared" si="11"/>
        <v>—</v>
      </c>
      <c r="N249" s="1" t="str">
        <f t="shared" si="12"/>
        <v>006Rg00000bD9hhIAC</v>
      </c>
    </row>
    <row r="250" spans="1:14" x14ac:dyDescent="0.4">
      <c r="A250" s="1">
        <v>5</v>
      </c>
      <c r="B250" s="1">
        <v>14</v>
      </c>
      <c r="C250" s="1" t="s">
        <v>607</v>
      </c>
      <c r="D250" s="1" t="s">
        <v>1</v>
      </c>
      <c r="E250" s="1" t="s">
        <v>397</v>
      </c>
      <c r="F250" s="1" t="s">
        <v>134</v>
      </c>
      <c r="G250" s="11" t="e">
        <f>_xlfn.XLOOKUP(M250,'Code Catagories'!A:A,'Code Catagories'!C:C)</f>
        <v>#N/A</v>
      </c>
      <c r="H250" s="1" t="s">
        <v>134</v>
      </c>
      <c r="I250" s="1" t="s">
        <v>134</v>
      </c>
      <c r="J250" s="1" t="s">
        <v>134</v>
      </c>
      <c r="K250" s="1" t="s">
        <v>134</v>
      </c>
      <c r="L250" s="10" t="s">
        <v>135</v>
      </c>
      <c r="M250" s="11" t="str">
        <f t="shared" si="11"/>
        <v>—</v>
      </c>
      <c r="N250" s="1" t="str">
        <f t="shared" si="12"/>
        <v>006Rg00000bde0HIAQ</v>
      </c>
    </row>
    <row r="251" spans="1:14" ht="43.75" x14ac:dyDescent="0.4">
      <c r="A251" s="1">
        <v>5</v>
      </c>
      <c r="B251" s="1">
        <v>14</v>
      </c>
      <c r="C251" s="1" t="s">
        <v>608</v>
      </c>
      <c r="D251" s="1" t="s">
        <v>1</v>
      </c>
      <c r="E251" s="1" t="s">
        <v>609</v>
      </c>
      <c r="F251" s="1" t="s">
        <v>153</v>
      </c>
      <c r="G251" s="11" t="str">
        <f>_xlfn.XLOOKUP(M251,'Code Catagories'!A:A,'Code Catagories'!C:C)</f>
        <v>4E. Availability / Serviceability</v>
      </c>
      <c r="H251" s="1" t="s">
        <v>138</v>
      </c>
      <c r="I251" s="1" t="s">
        <v>175</v>
      </c>
      <c r="J251" s="1" t="s">
        <v>140</v>
      </c>
      <c r="K251" s="1" t="s">
        <v>141</v>
      </c>
      <c r="L251" s="10" t="s">
        <v>611</v>
      </c>
      <c r="M251" s="11" t="str">
        <f t="shared" si="11"/>
        <v>4E</v>
      </c>
      <c r="N251" s="1" t="str">
        <f t="shared" si="12"/>
        <v>006Rg00000bDPuXIAW</v>
      </c>
    </row>
    <row r="252" spans="1:14" x14ac:dyDescent="0.4">
      <c r="A252" s="1">
        <v>5</v>
      </c>
      <c r="B252" s="1">
        <v>14</v>
      </c>
      <c r="C252" s="1" t="s">
        <v>610</v>
      </c>
      <c r="D252" s="1" t="s">
        <v>1</v>
      </c>
      <c r="E252" s="1" t="s">
        <v>426</v>
      </c>
      <c r="F252" s="1" t="s">
        <v>134</v>
      </c>
      <c r="G252" s="11" t="e">
        <f>_xlfn.XLOOKUP(M252,'Code Catagories'!A:A,'Code Catagories'!C:C)</f>
        <v>#N/A</v>
      </c>
      <c r="H252" s="1" t="s">
        <v>134</v>
      </c>
      <c r="I252" s="1" t="s">
        <v>134</v>
      </c>
      <c r="J252" s="1" t="s">
        <v>134</v>
      </c>
      <c r="K252" s="1" t="s">
        <v>134</v>
      </c>
      <c r="L252" s="10" t="s">
        <v>135</v>
      </c>
      <c r="M252" s="11" t="str">
        <f t="shared" si="11"/>
        <v>—</v>
      </c>
      <c r="N252" s="1" t="str">
        <f t="shared" si="12"/>
        <v>006Rg00000bdV9uIAE</v>
      </c>
    </row>
    <row r="253" spans="1:14" x14ac:dyDescent="0.4">
      <c r="A253" s="1">
        <v>5</v>
      </c>
      <c r="B253" s="1">
        <v>15</v>
      </c>
      <c r="C253" s="1" t="s">
        <v>612</v>
      </c>
      <c r="D253" s="1" t="s">
        <v>1</v>
      </c>
      <c r="E253" s="1" t="s">
        <v>613</v>
      </c>
      <c r="F253" s="1" t="s">
        <v>134</v>
      </c>
      <c r="G253" s="11" t="e">
        <f>_xlfn.XLOOKUP(M253,'Code Catagories'!A:A,'Code Catagories'!C:C)</f>
        <v>#N/A</v>
      </c>
      <c r="H253" s="1" t="s">
        <v>134</v>
      </c>
      <c r="I253" s="1" t="s">
        <v>134</v>
      </c>
      <c r="J253" s="1" t="s">
        <v>134</v>
      </c>
      <c r="K253" s="1" t="s">
        <v>134</v>
      </c>
      <c r="L253" s="10" t="s">
        <v>135</v>
      </c>
      <c r="M253" s="11" t="str">
        <f t="shared" si="11"/>
        <v>—</v>
      </c>
      <c r="N253" s="1" t="str">
        <f t="shared" si="12"/>
        <v>006Rg00000be9SIIAY</v>
      </c>
    </row>
    <row r="254" spans="1:14" ht="43.75" x14ac:dyDescent="0.4">
      <c r="A254" s="1">
        <v>5</v>
      </c>
      <c r="B254" s="1">
        <v>15</v>
      </c>
      <c r="C254" s="1" t="s">
        <v>614</v>
      </c>
      <c r="D254" s="1" t="s">
        <v>1</v>
      </c>
      <c r="E254" s="1" t="s">
        <v>134</v>
      </c>
      <c r="F254" s="1" t="s">
        <v>137</v>
      </c>
      <c r="G254" s="11" t="str">
        <f>_xlfn.XLOOKUP(M254,'Code Catagories'!A:A,'Code Catagories'!C:C)</f>
        <v>4B. Ancillary Fees</v>
      </c>
      <c r="H254" s="1" t="s">
        <v>138</v>
      </c>
      <c r="I254" s="1" t="s">
        <v>459</v>
      </c>
      <c r="J254" s="1" t="s">
        <v>147</v>
      </c>
      <c r="K254" s="1" t="s">
        <v>148</v>
      </c>
      <c r="L254" s="10" t="s">
        <v>615</v>
      </c>
      <c r="M254" s="11" t="str">
        <f t="shared" si="11"/>
        <v>4B</v>
      </c>
      <c r="N254" s="1" t="str">
        <f t="shared" si="12"/>
        <v>006Rg00000bEbqXIAS</v>
      </c>
    </row>
    <row r="255" spans="1:14" ht="29.15" x14ac:dyDescent="0.4">
      <c r="A255" s="1">
        <v>5</v>
      </c>
      <c r="B255" s="1">
        <v>15</v>
      </c>
      <c r="C255" s="1" t="s">
        <v>616</v>
      </c>
      <c r="D255" s="1" t="s">
        <v>1</v>
      </c>
      <c r="E255" s="1" t="s">
        <v>518</v>
      </c>
      <c r="F255" s="1" t="s">
        <v>222</v>
      </c>
      <c r="G255" s="11" t="str">
        <f>_xlfn.XLOOKUP(M255,'Code Catagories'!A:A,'Code Catagories'!C:C)</f>
        <v>4C. Commercial Model</v>
      </c>
      <c r="H255" s="1" t="s">
        <v>134</v>
      </c>
      <c r="I255" s="1" t="s">
        <v>617</v>
      </c>
      <c r="J255" s="1" t="s">
        <v>203</v>
      </c>
      <c r="K255" s="1" t="s">
        <v>141</v>
      </c>
      <c r="L255" s="10" t="s">
        <v>618</v>
      </c>
      <c r="M255" s="11" t="str">
        <f t="shared" si="11"/>
        <v>4C</v>
      </c>
      <c r="N255" s="1" t="str">
        <f t="shared" si="12"/>
        <v>006Rg00000bebwYIAQ</v>
      </c>
    </row>
    <row r="256" spans="1:14" ht="29.15" x14ac:dyDescent="0.4">
      <c r="A256" s="1">
        <v>5</v>
      </c>
      <c r="B256" s="1">
        <v>15</v>
      </c>
      <c r="C256" s="1" t="s">
        <v>619</v>
      </c>
      <c r="D256" s="1" t="s">
        <v>1</v>
      </c>
      <c r="E256" s="1" t="s">
        <v>461</v>
      </c>
      <c r="F256" s="1" t="s">
        <v>137</v>
      </c>
      <c r="G256" s="11" t="str">
        <f>_xlfn.XLOOKUP(M256,'Code Catagories'!A:A,'Code Catagories'!C:C)</f>
        <v>4B. Ancillary Fees</v>
      </c>
      <c r="H256" s="1" t="s">
        <v>138</v>
      </c>
      <c r="I256" s="1" t="s">
        <v>139</v>
      </c>
      <c r="J256" s="1" t="s">
        <v>140</v>
      </c>
      <c r="K256" s="1" t="s">
        <v>148</v>
      </c>
      <c r="L256" s="10" t="s">
        <v>620</v>
      </c>
      <c r="M256" s="11" t="str">
        <f t="shared" si="11"/>
        <v>4B</v>
      </c>
      <c r="N256" s="1" t="str">
        <f t="shared" si="12"/>
        <v>006Rg00000beCUzIAM</v>
      </c>
    </row>
    <row r="257" spans="1:14" ht="29.15" x14ac:dyDescent="0.4">
      <c r="A257" s="1">
        <v>5</v>
      </c>
      <c r="B257" s="1">
        <v>15</v>
      </c>
      <c r="C257" s="1" t="s">
        <v>621</v>
      </c>
      <c r="D257" s="1" t="s">
        <v>1</v>
      </c>
      <c r="E257" s="1" t="s">
        <v>622</v>
      </c>
      <c r="F257" s="1" t="s">
        <v>137</v>
      </c>
      <c r="G257" s="11" t="str">
        <f>_xlfn.XLOOKUP(M257,'Code Catagories'!A:A,'Code Catagories'!C:C)</f>
        <v>4B. Ancillary Fees</v>
      </c>
      <c r="H257" s="1" t="s">
        <v>138</v>
      </c>
      <c r="I257" s="1" t="s">
        <v>232</v>
      </c>
      <c r="J257" s="1" t="s">
        <v>140</v>
      </c>
      <c r="K257" s="1" t="s">
        <v>141</v>
      </c>
      <c r="L257" s="10" t="s">
        <v>623</v>
      </c>
      <c r="M257" s="11" t="str">
        <f t="shared" si="11"/>
        <v>4B</v>
      </c>
      <c r="N257" s="1" t="str">
        <f t="shared" si="12"/>
        <v>006Rg00000beD1HIAU</v>
      </c>
    </row>
    <row r="258" spans="1:14" x14ac:dyDescent="0.4">
      <c r="A258" s="1">
        <v>5</v>
      </c>
      <c r="B258" s="1">
        <v>15</v>
      </c>
      <c r="C258" s="1" t="s">
        <v>624</v>
      </c>
      <c r="D258" s="1" t="s">
        <v>2</v>
      </c>
      <c r="E258" s="1" t="s">
        <v>134</v>
      </c>
      <c r="F258" s="1" t="s">
        <v>134</v>
      </c>
      <c r="G258" s="11" t="e">
        <f>_xlfn.XLOOKUP(M258,'Code Catagories'!A:A,'Code Catagories'!C:C)</f>
        <v>#N/A</v>
      </c>
      <c r="H258" s="1" t="s">
        <v>134</v>
      </c>
      <c r="I258" s="1" t="s">
        <v>134</v>
      </c>
      <c r="J258" s="1" t="s">
        <v>134</v>
      </c>
      <c r="K258" s="1" t="s">
        <v>134</v>
      </c>
      <c r="L258" s="10" t="s">
        <v>135</v>
      </c>
      <c r="M258" s="11" t="str">
        <f t="shared" si="11"/>
        <v>—</v>
      </c>
      <c r="N258" s="1" t="str">
        <f t="shared" si="12"/>
        <v>006Rg00000beHfxIAE</v>
      </c>
    </row>
    <row r="259" spans="1:14" ht="29.15" x14ac:dyDescent="0.4">
      <c r="A259" s="1">
        <v>5</v>
      </c>
      <c r="B259" s="1">
        <v>15</v>
      </c>
      <c r="C259" s="1" t="s">
        <v>625</v>
      </c>
      <c r="D259" s="1" t="s">
        <v>2</v>
      </c>
      <c r="E259" s="1" t="s">
        <v>626</v>
      </c>
      <c r="F259" s="1" t="s">
        <v>137</v>
      </c>
      <c r="G259" s="11" t="str">
        <f>_xlfn.XLOOKUP(M259,'Code Catagories'!A:A,'Code Catagories'!C:C)</f>
        <v>4B. Ancillary Fees</v>
      </c>
      <c r="H259" s="1" t="s">
        <v>134</v>
      </c>
      <c r="I259" s="1" t="s">
        <v>627</v>
      </c>
      <c r="J259" s="1" t="s">
        <v>203</v>
      </c>
      <c r="K259" s="1" t="s">
        <v>141</v>
      </c>
      <c r="L259" s="10" t="s">
        <v>628</v>
      </c>
      <c r="M259" s="11" t="str">
        <f t="shared" si="11"/>
        <v>4B</v>
      </c>
      <c r="N259" s="1" t="str">
        <f t="shared" si="12"/>
        <v>006Rg00000beos3IAA</v>
      </c>
    </row>
    <row r="260" spans="1:14" x14ac:dyDescent="0.4">
      <c r="A260" s="1">
        <v>5</v>
      </c>
      <c r="B260" s="1">
        <v>15</v>
      </c>
      <c r="C260" s="1" t="s">
        <v>629</v>
      </c>
      <c r="D260" s="1" t="s">
        <v>1</v>
      </c>
      <c r="E260" s="1" t="s">
        <v>393</v>
      </c>
      <c r="F260" s="1" t="s">
        <v>134</v>
      </c>
      <c r="G260" s="11" t="e">
        <f>_xlfn.XLOOKUP(M260,'Code Catagories'!A:A,'Code Catagories'!C:C)</f>
        <v>#N/A</v>
      </c>
      <c r="H260" s="1" t="s">
        <v>134</v>
      </c>
      <c r="I260" s="1" t="s">
        <v>134</v>
      </c>
      <c r="J260" s="1" t="s">
        <v>134</v>
      </c>
      <c r="K260" s="1" t="s">
        <v>134</v>
      </c>
      <c r="L260" s="10" t="s">
        <v>135</v>
      </c>
      <c r="M260" s="11" t="str">
        <f t="shared" si="11"/>
        <v>—</v>
      </c>
      <c r="N260" s="1" t="str">
        <f t="shared" si="12"/>
        <v>006Rg00000beQbBIAU</v>
      </c>
    </row>
    <row r="261" spans="1:14" x14ac:dyDescent="0.4">
      <c r="A261" s="1">
        <v>5</v>
      </c>
      <c r="B261" s="1">
        <v>15</v>
      </c>
      <c r="C261" s="1" t="s">
        <v>630</v>
      </c>
      <c r="D261" s="1" t="s">
        <v>1</v>
      </c>
      <c r="E261" s="1" t="s">
        <v>134</v>
      </c>
      <c r="F261" s="1" t="s">
        <v>134</v>
      </c>
      <c r="G261" s="11" t="e">
        <f>_xlfn.XLOOKUP(M261,'Code Catagories'!A:A,'Code Catagories'!C:C)</f>
        <v>#N/A</v>
      </c>
      <c r="H261" s="1" t="s">
        <v>134</v>
      </c>
      <c r="I261" s="1" t="s">
        <v>134</v>
      </c>
      <c r="J261" s="1" t="s">
        <v>134</v>
      </c>
      <c r="K261" s="1" t="s">
        <v>134</v>
      </c>
      <c r="L261" s="10" t="s">
        <v>135</v>
      </c>
      <c r="M261" s="11" t="str">
        <f t="shared" si="11"/>
        <v>—</v>
      </c>
      <c r="N261" s="1" t="str">
        <f t="shared" si="12"/>
        <v>006Rg00000bEs1eIAC</v>
      </c>
    </row>
    <row r="262" spans="1:14" x14ac:dyDescent="0.4">
      <c r="A262" s="1">
        <v>5</v>
      </c>
      <c r="B262" s="1">
        <v>15</v>
      </c>
      <c r="C262" s="1" t="s">
        <v>631</v>
      </c>
      <c r="D262" s="1" t="s">
        <v>1</v>
      </c>
      <c r="E262" s="1" t="s">
        <v>632</v>
      </c>
      <c r="F262" s="1" t="s">
        <v>134</v>
      </c>
      <c r="G262" s="11" t="e">
        <f>_xlfn.XLOOKUP(M262,'Code Catagories'!A:A,'Code Catagories'!C:C)</f>
        <v>#N/A</v>
      </c>
      <c r="H262" s="1" t="s">
        <v>134</v>
      </c>
      <c r="I262" s="1" t="s">
        <v>134</v>
      </c>
      <c r="J262" s="1" t="s">
        <v>134</v>
      </c>
      <c r="K262" s="1" t="s">
        <v>134</v>
      </c>
      <c r="L262" s="10" t="s">
        <v>135</v>
      </c>
      <c r="M262" s="11" t="str">
        <f t="shared" si="11"/>
        <v>—</v>
      </c>
      <c r="N262" s="1" t="str">
        <f t="shared" si="12"/>
        <v>006Rg00000beUlFIAU</v>
      </c>
    </row>
    <row r="263" spans="1:14" x14ac:dyDescent="0.4">
      <c r="A263" s="1">
        <v>5</v>
      </c>
      <c r="B263" s="1">
        <v>15</v>
      </c>
      <c r="C263" s="1" t="s">
        <v>633</v>
      </c>
      <c r="D263" s="1" t="s">
        <v>1</v>
      </c>
      <c r="E263" s="1" t="s">
        <v>134</v>
      </c>
      <c r="F263" s="1" t="s">
        <v>134</v>
      </c>
      <c r="G263" s="11" t="e">
        <f>_xlfn.XLOOKUP(M263,'Code Catagories'!A:A,'Code Catagories'!C:C)</f>
        <v>#N/A</v>
      </c>
      <c r="H263" s="1" t="s">
        <v>134</v>
      </c>
      <c r="I263" s="1" t="s">
        <v>134</v>
      </c>
      <c r="J263" s="1" t="s">
        <v>134</v>
      </c>
      <c r="K263" s="1" t="s">
        <v>134</v>
      </c>
      <c r="L263" s="10" t="s">
        <v>135</v>
      </c>
      <c r="M263" s="11" t="str">
        <f t="shared" si="11"/>
        <v>—</v>
      </c>
      <c r="N263" s="1" t="str">
        <f t="shared" si="12"/>
        <v>006Rg00000bF0NOIA0</v>
      </c>
    </row>
    <row r="264" spans="1:14" ht="29.15" x14ac:dyDescent="0.4">
      <c r="A264" s="1">
        <v>5</v>
      </c>
      <c r="B264" s="1">
        <v>15</v>
      </c>
      <c r="C264" s="1" t="s">
        <v>634</v>
      </c>
      <c r="D264" s="1" t="s">
        <v>2</v>
      </c>
      <c r="E264" s="1" t="s">
        <v>635</v>
      </c>
      <c r="F264" s="1" t="s">
        <v>145</v>
      </c>
      <c r="G264" s="11" t="str">
        <f>_xlfn.XLOOKUP(M264,'Code Catagories'!A:A,'Code Catagories'!C:C)</f>
        <v>4A. Rate Uncompetitive</v>
      </c>
      <c r="H264" s="1" t="s">
        <v>134</v>
      </c>
      <c r="I264" s="1" t="s">
        <v>146</v>
      </c>
      <c r="J264" s="1" t="s">
        <v>203</v>
      </c>
      <c r="K264" s="1" t="s">
        <v>141</v>
      </c>
      <c r="L264" s="10" t="s">
        <v>636</v>
      </c>
      <c r="M264" s="11" t="str">
        <f t="shared" si="11"/>
        <v>4A</v>
      </c>
      <c r="N264" s="1" t="str">
        <f t="shared" si="12"/>
        <v>006Rg00000bf1FlIAI</v>
      </c>
    </row>
    <row r="265" spans="1:14" x14ac:dyDescent="0.4">
      <c r="A265" s="1">
        <v>5</v>
      </c>
      <c r="B265" s="1">
        <v>15</v>
      </c>
      <c r="C265" s="1" t="s">
        <v>637</v>
      </c>
      <c r="D265" s="1" t="s">
        <v>2</v>
      </c>
      <c r="E265" s="1" t="s">
        <v>134</v>
      </c>
      <c r="F265" s="1" t="s">
        <v>134</v>
      </c>
      <c r="G265" s="11" t="e">
        <f>_xlfn.XLOOKUP(M265,'Code Catagories'!A:A,'Code Catagories'!C:C)</f>
        <v>#N/A</v>
      </c>
      <c r="H265" s="1" t="s">
        <v>134</v>
      </c>
      <c r="I265" s="1" t="s">
        <v>134</v>
      </c>
      <c r="J265" s="1" t="s">
        <v>134</v>
      </c>
      <c r="K265" s="1" t="s">
        <v>134</v>
      </c>
      <c r="L265" s="10" t="s">
        <v>135</v>
      </c>
      <c r="M265" s="11" t="str">
        <f t="shared" si="11"/>
        <v>—</v>
      </c>
      <c r="N265" s="1" t="str">
        <f t="shared" si="12"/>
        <v>006Rg00000bf1viIAA</v>
      </c>
    </row>
    <row r="266" spans="1:14" x14ac:dyDescent="0.4">
      <c r="A266" s="1">
        <v>5</v>
      </c>
      <c r="B266" s="1">
        <v>15</v>
      </c>
      <c r="C266" s="1" t="s">
        <v>638</v>
      </c>
      <c r="D266" s="1" t="s">
        <v>2</v>
      </c>
      <c r="E266" s="1" t="s">
        <v>639</v>
      </c>
      <c r="F266" s="1" t="s">
        <v>134</v>
      </c>
      <c r="G266" s="11" t="e">
        <f>_xlfn.XLOOKUP(M266,'Code Catagories'!A:A,'Code Catagories'!C:C)</f>
        <v>#N/A</v>
      </c>
      <c r="H266" s="1" t="s">
        <v>134</v>
      </c>
      <c r="I266" s="1" t="s">
        <v>134</v>
      </c>
      <c r="J266" s="1" t="s">
        <v>134</v>
      </c>
      <c r="K266" s="1" t="s">
        <v>134</v>
      </c>
      <c r="L266" s="10" t="s">
        <v>135</v>
      </c>
      <c r="M266" s="11" t="str">
        <f t="shared" si="11"/>
        <v>—</v>
      </c>
      <c r="N266" s="1" t="str">
        <f t="shared" si="12"/>
        <v>006Rg00000bF2CLIA0</v>
      </c>
    </row>
    <row r="267" spans="1:14" x14ac:dyDescent="0.4">
      <c r="A267" s="1">
        <v>5</v>
      </c>
      <c r="B267" s="1">
        <v>15</v>
      </c>
      <c r="C267" s="1" t="s">
        <v>640</v>
      </c>
      <c r="D267" s="1" t="s">
        <v>1</v>
      </c>
      <c r="E267" s="1" t="s">
        <v>134</v>
      </c>
      <c r="F267" s="1" t="s">
        <v>134</v>
      </c>
      <c r="G267" s="11" t="e">
        <f>_xlfn.XLOOKUP(M267,'Code Catagories'!A:A,'Code Catagories'!C:C)</f>
        <v>#N/A</v>
      </c>
      <c r="H267" s="1" t="s">
        <v>134</v>
      </c>
      <c r="I267" s="1" t="s">
        <v>134</v>
      </c>
      <c r="J267" s="1" t="s">
        <v>134</v>
      </c>
      <c r="K267" s="1" t="s">
        <v>134</v>
      </c>
      <c r="L267" s="10" t="s">
        <v>135</v>
      </c>
      <c r="M267" s="11" t="str">
        <f t="shared" si="11"/>
        <v>—</v>
      </c>
      <c r="N267" s="1" t="str">
        <f t="shared" si="12"/>
        <v>006Rg00000bF2KQIA0</v>
      </c>
    </row>
    <row r="268" spans="1:14" x14ac:dyDescent="0.4">
      <c r="A268" s="1">
        <v>5</v>
      </c>
      <c r="B268" s="1">
        <v>15</v>
      </c>
      <c r="C268" s="1" t="s">
        <v>641</v>
      </c>
      <c r="D268" s="1" t="s">
        <v>1</v>
      </c>
      <c r="E268" s="1" t="s">
        <v>134</v>
      </c>
      <c r="F268" s="1" t="s">
        <v>134</v>
      </c>
      <c r="G268" s="11" t="e">
        <f>_xlfn.XLOOKUP(M268,'Code Catagories'!A:A,'Code Catagories'!C:C)</f>
        <v>#N/A</v>
      </c>
      <c r="H268" s="1" t="s">
        <v>134</v>
      </c>
      <c r="I268" s="1" t="s">
        <v>134</v>
      </c>
      <c r="J268" s="1" t="s">
        <v>134</v>
      </c>
      <c r="K268" s="1" t="s">
        <v>134</v>
      </c>
      <c r="L268" s="10" t="s">
        <v>135</v>
      </c>
      <c r="M268" s="11" t="str">
        <f t="shared" si="11"/>
        <v>—</v>
      </c>
      <c r="N268" s="1" t="str">
        <f t="shared" si="12"/>
        <v>006Rg00000bF3hpIAC</v>
      </c>
    </row>
    <row r="269" spans="1:14" x14ac:dyDescent="0.4">
      <c r="A269" s="1">
        <v>5</v>
      </c>
      <c r="B269" s="1">
        <v>15</v>
      </c>
      <c r="C269" s="1" t="s">
        <v>642</v>
      </c>
      <c r="D269" s="1" t="s">
        <v>2</v>
      </c>
      <c r="E269" s="1" t="s">
        <v>134</v>
      </c>
      <c r="F269" s="1" t="s">
        <v>134</v>
      </c>
      <c r="G269" s="11" t="e">
        <f>_xlfn.XLOOKUP(M269,'Code Catagories'!A:A,'Code Catagories'!C:C)</f>
        <v>#N/A</v>
      </c>
      <c r="H269" s="1" t="s">
        <v>134</v>
      </c>
      <c r="I269" s="1" t="s">
        <v>134</v>
      </c>
      <c r="J269" s="1" t="s">
        <v>134</v>
      </c>
      <c r="K269" s="1" t="s">
        <v>134</v>
      </c>
      <c r="L269" s="10" t="s">
        <v>135</v>
      </c>
      <c r="M269" s="11" t="str">
        <f t="shared" si="11"/>
        <v>—</v>
      </c>
      <c r="N269" s="1" t="str">
        <f t="shared" si="12"/>
        <v>006Rg00000bF3ptIAC</v>
      </c>
    </row>
    <row r="270" spans="1:14" x14ac:dyDescent="0.4">
      <c r="A270" s="1">
        <v>5</v>
      </c>
      <c r="B270" s="1">
        <v>16</v>
      </c>
      <c r="C270" s="1" t="s">
        <v>643</v>
      </c>
      <c r="D270" s="1" t="s">
        <v>1</v>
      </c>
      <c r="E270" s="1" t="s">
        <v>644</v>
      </c>
      <c r="F270" s="1" t="s">
        <v>134</v>
      </c>
      <c r="G270" s="11" t="e">
        <f>_xlfn.XLOOKUP(M270,'Code Catagories'!A:A,'Code Catagories'!C:C)</f>
        <v>#N/A</v>
      </c>
      <c r="H270" s="1" t="s">
        <v>134</v>
      </c>
      <c r="I270" s="1" t="s">
        <v>134</v>
      </c>
      <c r="J270" s="1" t="s">
        <v>134</v>
      </c>
      <c r="K270" s="1" t="s">
        <v>134</v>
      </c>
      <c r="L270" s="10" t="s">
        <v>135</v>
      </c>
      <c r="M270" s="11" t="str">
        <f t="shared" ref="M270:M291" si="13">TRIM(F270)</f>
        <v>—</v>
      </c>
      <c r="N270" s="1" t="str">
        <f t="shared" ref="N270:N291" si="14">TRIM(C270)</f>
        <v>006Rg00000bF5zmIAC</v>
      </c>
    </row>
    <row r="271" spans="1:14" x14ac:dyDescent="0.4">
      <c r="A271" s="1">
        <v>5</v>
      </c>
      <c r="B271" s="1">
        <v>16</v>
      </c>
      <c r="C271" s="1" t="s">
        <v>645</v>
      </c>
      <c r="D271" s="1" t="s">
        <v>2</v>
      </c>
      <c r="E271" s="1" t="s">
        <v>646</v>
      </c>
      <c r="F271" s="1" t="s">
        <v>134</v>
      </c>
      <c r="G271" s="11" t="e">
        <f>_xlfn.XLOOKUP(M271,'Code Catagories'!A:A,'Code Catagories'!C:C)</f>
        <v>#N/A</v>
      </c>
      <c r="H271" s="1" t="s">
        <v>134</v>
      </c>
      <c r="I271" s="1" t="s">
        <v>134</v>
      </c>
      <c r="J271" s="1" t="s">
        <v>134</v>
      </c>
      <c r="K271" s="1" t="s">
        <v>134</v>
      </c>
      <c r="L271" s="10" t="s">
        <v>135</v>
      </c>
      <c r="M271" s="11" t="str">
        <f t="shared" si="13"/>
        <v>—</v>
      </c>
      <c r="N271" s="1" t="str">
        <f t="shared" si="14"/>
        <v>006Rg00000bf8qnIAA</v>
      </c>
    </row>
    <row r="272" spans="1:14" x14ac:dyDescent="0.4">
      <c r="A272" s="1">
        <v>5</v>
      </c>
      <c r="B272" s="1">
        <v>16</v>
      </c>
      <c r="C272" s="1" t="s">
        <v>647</v>
      </c>
      <c r="D272" s="1" t="s">
        <v>1</v>
      </c>
      <c r="E272" s="1" t="s">
        <v>524</v>
      </c>
      <c r="F272" s="1" t="s">
        <v>134</v>
      </c>
      <c r="G272" s="11" t="e">
        <f>_xlfn.XLOOKUP(M272,'Code Catagories'!A:A,'Code Catagories'!C:C)</f>
        <v>#N/A</v>
      </c>
      <c r="H272" s="1" t="s">
        <v>134</v>
      </c>
      <c r="I272" s="1" t="s">
        <v>134</v>
      </c>
      <c r="J272" s="1" t="s">
        <v>134</v>
      </c>
      <c r="K272" s="1" t="s">
        <v>134</v>
      </c>
      <c r="L272" s="10" t="s">
        <v>135</v>
      </c>
      <c r="M272" s="11" t="str">
        <f t="shared" si="13"/>
        <v>—</v>
      </c>
      <c r="N272" s="1" t="str">
        <f t="shared" si="14"/>
        <v>006Rg00000bFoNOIA0</v>
      </c>
    </row>
    <row r="273" spans="1:14" x14ac:dyDescent="0.4">
      <c r="A273" s="1">
        <v>5</v>
      </c>
      <c r="B273" s="1">
        <v>16</v>
      </c>
      <c r="C273" s="1" t="s">
        <v>648</v>
      </c>
      <c r="D273" s="1" t="s">
        <v>2</v>
      </c>
      <c r="E273" s="1" t="s">
        <v>649</v>
      </c>
      <c r="F273" s="1" t="s">
        <v>134</v>
      </c>
      <c r="G273" s="11" t="e">
        <f>_xlfn.XLOOKUP(M273,'Code Catagories'!A:A,'Code Catagories'!C:C)</f>
        <v>#N/A</v>
      </c>
      <c r="H273" s="1" t="s">
        <v>134</v>
      </c>
      <c r="I273" s="1" t="s">
        <v>134</v>
      </c>
      <c r="J273" s="1" t="s">
        <v>134</v>
      </c>
      <c r="K273" s="1" t="s">
        <v>134</v>
      </c>
      <c r="L273" s="10" t="s">
        <v>135</v>
      </c>
      <c r="M273" s="11" t="str">
        <f t="shared" si="13"/>
        <v>—</v>
      </c>
      <c r="N273" s="1" t="str">
        <f t="shared" si="14"/>
        <v>006Rg00000bFsahIAC</v>
      </c>
    </row>
    <row r="274" spans="1:14" x14ac:dyDescent="0.4">
      <c r="A274" s="1">
        <v>5</v>
      </c>
      <c r="B274" s="1">
        <v>16</v>
      </c>
      <c r="C274" s="1" t="s">
        <v>650</v>
      </c>
      <c r="D274" s="1" t="s">
        <v>1</v>
      </c>
      <c r="E274" s="1" t="s">
        <v>134</v>
      </c>
      <c r="F274" s="1" t="s">
        <v>134</v>
      </c>
      <c r="G274" s="11" t="e">
        <f>_xlfn.XLOOKUP(M274,'Code Catagories'!A:A,'Code Catagories'!C:C)</f>
        <v>#N/A</v>
      </c>
      <c r="H274" s="1" t="s">
        <v>134</v>
      </c>
      <c r="I274" s="1" t="s">
        <v>134</v>
      </c>
      <c r="J274" s="1" t="s">
        <v>134</v>
      </c>
      <c r="K274" s="1" t="s">
        <v>134</v>
      </c>
      <c r="L274" s="10" t="s">
        <v>135</v>
      </c>
      <c r="M274" s="11" t="str">
        <f t="shared" si="13"/>
        <v>—</v>
      </c>
      <c r="N274" s="1" t="str">
        <f t="shared" si="14"/>
        <v>006Rg00000bfTvBIAU</v>
      </c>
    </row>
    <row r="275" spans="1:14" ht="29.15" x14ac:dyDescent="0.4">
      <c r="A275" s="1">
        <v>5</v>
      </c>
      <c r="B275" s="1">
        <v>16</v>
      </c>
      <c r="C275" s="1" t="s">
        <v>651</v>
      </c>
      <c r="D275" s="1" t="s">
        <v>2</v>
      </c>
      <c r="E275" s="1" t="s">
        <v>652</v>
      </c>
      <c r="F275" s="1" t="s">
        <v>137</v>
      </c>
      <c r="G275" s="11" t="str">
        <f>_xlfn.XLOOKUP(M275,'Code Catagories'!A:A,'Code Catagories'!C:C)</f>
        <v>4B. Ancillary Fees</v>
      </c>
      <c r="H275" s="1" t="s">
        <v>134</v>
      </c>
      <c r="I275" s="1" t="s">
        <v>408</v>
      </c>
      <c r="J275" s="1" t="s">
        <v>203</v>
      </c>
      <c r="K275" s="1" t="s">
        <v>141</v>
      </c>
      <c r="L275" s="10" t="s">
        <v>653</v>
      </c>
      <c r="M275" s="11" t="str">
        <f t="shared" si="13"/>
        <v>4B</v>
      </c>
      <c r="N275" s="1" t="str">
        <f t="shared" si="14"/>
        <v>006Rg00000bFU0TIAW</v>
      </c>
    </row>
    <row r="276" spans="1:14" ht="29.15" x14ac:dyDescent="0.4">
      <c r="A276" s="1">
        <v>5</v>
      </c>
      <c r="B276" s="1">
        <v>16</v>
      </c>
      <c r="C276" s="1" t="s">
        <v>654</v>
      </c>
      <c r="D276" s="1" t="s">
        <v>2</v>
      </c>
      <c r="E276" s="1" t="s">
        <v>134</v>
      </c>
      <c r="F276" s="1" t="s">
        <v>153</v>
      </c>
      <c r="G276" s="11" t="str">
        <f>_xlfn.XLOOKUP(M276,'Code Catagories'!A:A,'Code Catagories'!C:C)</f>
        <v>4E. Availability / Serviceability</v>
      </c>
      <c r="H276" s="1" t="s">
        <v>134</v>
      </c>
      <c r="I276" s="1" t="s">
        <v>154</v>
      </c>
      <c r="J276" s="1" t="s">
        <v>203</v>
      </c>
      <c r="K276" s="1" t="s">
        <v>141</v>
      </c>
      <c r="L276" s="10" t="s">
        <v>655</v>
      </c>
      <c r="M276" s="11" t="str">
        <f t="shared" si="13"/>
        <v>4E</v>
      </c>
      <c r="N276" s="1" t="str">
        <f t="shared" si="14"/>
        <v>006Rg00000bFxKDIA0</v>
      </c>
    </row>
    <row r="277" spans="1:14" ht="29.15" x14ac:dyDescent="0.4">
      <c r="A277" s="1">
        <v>5</v>
      </c>
      <c r="B277" s="1">
        <v>16</v>
      </c>
      <c r="C277" s="1" t="s">
        <v>654</v>
      </c>
      <c r="D277" s="1" t="s">
        <v>2</v>
      </c>
      <c r="E277" s="1" t="s">
        <v>134</v>
      </c>
      <c r="F277" s="1" t="s">
        <v>137</v>
      </c>
      <c r="G277" s="11" t="str">
        <f>_xlfn.XLOOKUP(M277,'Code Catagories'!A:A,'Code Catagories'!C:C)</f>
        <v>4B. Ancillary Fees</v>
      </c>
      <c r="H277" s="1" t="s">
        <v>134</v>
      </c>
      <c r="I277" s="1" t="s">
        <v>207</v>
      </c>
      <c r="J277" s="1" t="s">
        <v>203</v>
      </c>
      <c r="K277" s="1" t="s">
        <v>141</v>
      </c>
      <c r="L277" s="10" t="s">
        <v>656</v>
      </c>
      <c r="M277" s="11" t="str">
        <f t="shared" si="13"/>
        <v>4B</v>
      </c>
      <c r="N277" s="1" t="str">
        <f t="shared" si="14"/>
        <v>006Rg00000bFxKDIA0</v>
      </c>
    </row>
    <row r="278" spans="1:14" x14ac:dyDescent="0.4">
      <c r="A278" s="1">
        <v>5</v>
      </c>
      <c r="B278" s="1">
        <v>16</v>
      </c>
      <c r="C278" s="1" t="s">
        <v>657</v>
      </c>
      <c r="D278" s="1" t="s">
        <v>2</v>
      </c>
      <c r="E278" s="1" t="s">
        <v>658</v>
      </c>
      <c r="F278" s="1" t="s">
        <v>134</v>
      </c>
      <c r="G278" s="11" t="e">
        <f>_xlfn.XLOOKUP(M278,'Code Catagories'!A:A,'Code Catagories'!C:C)</f>
        <v>#N/A</v>
      </c>
      <c r="H278" s="1" t="s">
        <v>134</v>
      </c>
      <c r="I278" s="1" t="s">
        <v>134</v>
      </c>
      <c r="J278" s="1" t="s">
        <v>134</v>
      </c>
      <c r="K278" s="1" t="s">
        <v>134</v>
      </c>
      <c r="L278" s="10" t="s">
        <v>135</v>
      </c>
      <c r="M278" s="11" t="str">
        <f t="shared" si="13"/>
        <v>—</v>
      </c>
      <c r="N278" s="1" t="str">
        <f t="shared" si="14"/>
        <v>006Rg00000bfXynIAE</v>
      </c>
    </row>
    <row r="279" spans="1:14" ht="29.15" x14ac:dyDescent="0.4">
      <c r="A279" s="1">
        <v>5</v>
      </c>
      <c r="B279" s="1">
        <v>16</v>
      </c>
      <c r="C279" s="1" t="s">
        <v>659</v>
      </c>
      <c r="D279" s="1" t="s">
        <v>1</v>
      </c>
      <c r="E279" s="1" t="s">
        <v>660</v>
      </c>
      <c r="F279" s="1" t="s">
        <v>137</v>
      </c>
      <c r="G279" s="11" t="str">
        <f>_xlfn.XLOOKUP(M279,'Code Catagories'!A:A,'Code Catagories'!C:C)</f>
        <v>4B. Ancillary Fees</v>
      </c>
      <c r="H279" s="1" t="s">
        <v>138</v>
      </c>
      <c r="I279" s="1" t="s">
        <v>232</v>
      </c>
      <c r="J279" s="1" t="s">
        <v>147</v>
      </c>
      <c r="K279" s="1" t="s">
        <v>141</v>
      </c>
      <c r="L279" s="10" t="s">
        <v>661</v>
      </c>
      <c r="M279" s="11" t="str">
        <f t="shared" si="13"/>
        <v>4B</v>
      </c>
      <c r="N279" s="1" t="str">
        <f t="shared" si="14"/>
        <v>006Rg00000bFy6cIAC</v>
      </c>
    </row>
    <row r="280" spans="1:14" ht="29.15" x14ac:dyDescent="0.4">
      <c r="A280" s="1">
        <v>5</v>
      </c>
      <c r="B280" s="1">
        <v>16</v>
      </c>
      <c r="C280" s="1" t="s">
        <v>662</v>
      </c>
      <c r="D280" s="1" t="s">
        <v>1</v>
      </c>
      <c r="E280" s="1" t="s">
        <v>663</v>
      </c>
      <c r="F280" s="1" t="s">
        <v>134</v>
      </c>
      <c r="G280" s="11" t="e">
        <f>_xlfn.XLOOKUP(M280,'Code Catagories'!A:A,'Code Catagories'!C:C)</f>
        <v>#N/A</v>
      </c>
      <c r="H280" s="1" t="s">
        <v>134</v>
      </c>
      <c r="I280" s="1" t="s">
        <v>134</v>
      </c>
      <c r="J280" s="1" t="s">
        <v>134</v>
      </c>
      <c r="K280" s="1" t="s">
        <v>134</v>
      </c>
      <c r="L280" s="10" t="s">
        <v>664</v>
      </c>
      <c r="M280" s="11" t="str">
        <f t="shared" si="13"/>
        <v>—</v>
      </c>
      <c r="N280" s="1" t="str">
        <f t="shared" si="14"/>
        <v>006Rg00000bG5BKIA0</v>
      </c>
    </row>
    <row r="281" spans="1:14" x14ac:dyDescent="0.4">
      <c r="A281" s="1">
        <v>5</v>
      </c>
      <c r="B281" s="1">
        <v>16</v>
      </c>
      <c r="C281" s="1" t="s">
        <v>665</v>
      </c>
      <c r="D281" s="1" t="s">
        <v>2</v>
      </c>
      <c r="E281" s="1" t="s">
        <v>134</v>
      </c>
      <c r="F281" s="1" t="s">
        <v>134</v>
      </c>
      <c r="G281" s="11" t="e">
        <f>_xlfn.XLOOKUP(M281,'Code Catagories'!A:A,'Code Catagories'!C:C)</f>
        <v>#N/A</v>
      </c>
      <c r="H281" s="1" t="s">
        <v>134</v>
      </c>
      <c r="I281" s="1" t="s">
        <v>134</v>
      </c>
      <c r="J281" s="1" t="s">
        <v>134</v>
      </c>
      <c r="K281" s="1" t="s">
        <v>134</v>
      </c>
      <c r="L281" s="10" t="s">
        <v>666</v>
      </c>
      <c r="M281" s="11" t="str">
        <f t="shared" si="13"/>
        <v>—</v>
      </c>
      <c r="N281" s="1" t="str">
        <f t="shared" si="14"/>
        <v>006Rg00000bGLCrIAO</v>
      </c>
    </row>
    <row r="282" spans="1:14" ht="29.15" x14ac:dyDescent="0.4">
      <c r="A282" s="1">
        <v>5</v>
      </c>
      <c r="B282" s="1">
        <v>16</v>
      </c>
      <c r="C282" s="1" t="s">
        <v>667</v>
      </c>
      <c r="D282" s="1" t="s">
        <v>2</v>
      </c>
      <c r="E282" s="1" t="s">
        <v>668</v>
      </c>
      <c r="F282" s="1" t="s">
        <v>137</v>
      </c>
      <c r="G282" s="11" t="str">
        <f>_xlfn.XLOOKUP(M282,'Code Catagories'!A:A,'Code Catagories'!C:C)</f>
        <v>4B. Ancillary Fees</v>
      </c>
      <c r="H282" s="1" t="s">
        <v>138</v>
      </c>
      <c r="I282" s="1" t="s">
        <v>139</v>
      </c>
      <c r="J282" s="1" t="s">
        <v>140</v>
      </c>
      <c r="K282" s="1" t="s">
        <v>148</v>
      </c>
      <c r="L282" s="10" t="s">
        <v>669</v>
      </c>
      <c r="M282" s="11" t="str">
        <f t="shared" si="13"/>
        <v>4B</v>
      </c>
      <c r="N282" s="1" t="str">
        <f t="shared" si="14"/>
        <v>006Rg00000bGMaLIAW</v>
      </c>
    </row>
    <row r="283" spans="1:14" x14ac:dyDescent="0.4">
      <c r="A283" s="1">
        <v>5</v>
      </c>
      <c r="B283" s="1">
        <v>16</v>
      </c>
      <c r="C283" s="1" t="s">
        <v>670</v>
      </c>
      <c r="D283" s="1" t="s">
        <v>2</v>
      </c>
      <c r="E283" s="1" t="s">
        <v>467</v>
      </c>
      <c r="F283" s="1" t="s">
        <v>134</v>
      </c>
      <c r="G283" s="11" t="e">
        <f>_xlfn.XLOOKUP(M283,'Code Catagories'!A:A,'Code Catagories'!C:C)</f>
        <v>#N/A</v>
      </c>
      <c r="H283" s="1" t="s">
        <v>134</v>
      </c>
      <c r="I283" s="1" t="s">
        <v>134</v>
      </c>
      <c r="J283" s="1" t="s">
        <v>134</v>
      </c>
      <c r="K283" s="1" t="s">
        <v>134</v>
      </c>
      <c r="L283" s="10" t="s">
        <v>135</v>
      </c>
      <c r="M283" s="11" t="str">
        <f t="shared" si="13"/>
        <v>—</v>
      </c>
      <c r="N283" s="1" t="str">
        <f t="shared" si="14"/>
        <v>006Rg00000bGMgnIAG</v>
      </c>
    </row>
    <row r="284" spans="1:14" x14ac:dyDescent="0.4">
      <c r="A284" s="1">
        <v>5</v>
      </c>
      <c r="B284" s="1">
        <v>16</v>
      </c>
      <c r="C284" s="1" t="s">
        <v>671</v>
      </c>
      <c r="D284" s="1" t="s">
        <v>1</v>
      </c>
      <c r="E284" s="1" t="s">
        <v>672</v>
      </c>
      <c r="F284" s="1" t="s">
        <v>134</v>
      </c>
      <c r="G284" s="11" t="e">
        <f>_xlfn.XLOOKUP(M284,'Code Catagories'!A:A,'Code Catagories'!C:C)</f>
        <v>#N/A</v>
      </c>
      <c r="H284" s="1" t="s">
        <v>134</v>
      </c>
      <c r="I284" s="1" t="s">
        <v>134</v>
      </c>
      <c r="J284" s="1" t="s">
        <v>134</v>
      </c>
      <c r="K284" s="1" t="s">
        <v>134</v>
      </c>
      <c r="L284" s="10" t="s">
        <v>135</v>
      </c>
      <c r="M284" s="11" t="str">
        <f t="shared" si="13"/>
        <v>—</v>
      </c>
      <c r="N284" s="1" t="str">
        <f t="shared" si="14"/>
        <v>006Rg00000bGOFZIA4</v>
      </c>
    </row>
    <row r="285" spans="1:14" ht="29.15" x14ac:dyDescent="0.4">
      <c r="A285" s="1">
        <v>5</v>
      </c>
      <c r="B285" s="1">
        <v>16</v>
      </c>
      <c r="C285" s="1" t="s">
        <v>673</v>
      </c>
      <c r="D285" s="1" t="s">
        <v>1</v>
      </c>
      <c r="E285" s="1" t="s">
        <v>674</v>
      </c>
      <c r="F285" s="1" t="s">
        <v>192</v>
      </c>
      <c r="G285" s="11" t="str">
        <f>_xlfn.XLOOKUP(M285,'Code Catagories'!A:A,'Code Catagories'!C:C)</f>
        <v>4D. Contract Mechanics</v>
      </c>
      <c r="H285" s="1" t="s">
        <v>138</v>
      </c>
      <c r="I285" s="1" t="s">
        <v>193</v>
      </c>
      <c r="J285" s="1" t="s">
        <v>140</v>
      </c>
      <c r="K285" s="1" t="s">
        <v>148</v>
      </c>
      <c r="L285" s="10" t="s">
        <v>675</v>
      </c>
      <c r="M285" s="11" t="str">
        <f t="shared" si="13"/>
        <v>4D</v>
      </c>
      <c r="N285" s="1" t="str">
        <f t="shared" si="14"/>
        <v>006Rg00000bgr93IAA</v>
      </c>
    </row>
    <row r="286" spans="1:14" ht="29.15" x14ac:dyDescent="0.4">
      <c r="A286" s="1">
        <v>5</v>
      </c>
      <c r="B286" s="1">
        <v>16</v>
      </c>
      <c r="C286" s="1" t="s">
        <v>676</v>
      </c>
      <c r="D286" s="1" t="s">
        <v>1</v>
      </c>
      <c r="E286" s="1" t="s">
        <v>134</v>
      </c>
      <c r="F286" s="1" t="s">
        <v>134</v>
      </c>
      <c r="G286" s="11" t="e">
        <f>_xlfn.XLOOKUP(M286,'Code Catagories'!A:A,'Code Catagories'!C:C)</f>
        <v>#N/A</v>
      </c>
      <c r="H286" s="1" t="s">
        <v>134</v>
      </c>
      <c r="I286" s="1" t="s">
        <v>134</v>
      </c>
      <c r="J286" s="1" t="s">
        <v>134</v>
      </c>
      <c r="K286" s="1" t="s">
        <v>134</v>
      </c>
      <c r="L286" s="10" t="s">
        <v>677</v>
      </c>
      <c r="M286" s="11" t="str">
        <f t="shared" si="13"/>
        <v>—</v>
      </c>
      <c r="N286" s="1" t="str">
        <f t="shared" si="14"/>
        <v>006Rg00000bh3F3IAI</v>
      </c>
    </row>
    <row r="287" spans="1:14" ht="29.15" x14ac:dyDescent="0.4">
      <c r="A287" s="1">
        <v>5</v>
      </c>
      <c r="B287" s="1">
        <v>16</v>
      </c>
      <c r="C287" s="1" t="s">
        <v>678</v>
      </c>
      <c r="D287" s="1" t="s">
        <v>2</v>
      </c>
      <c r="E287" s="1" t="s">
        <v>365</v>
      </c>
      <c r="F287" s="1" t="s">
        <v>134</v>
      </c>
      <c r="G287" s="11" t="e">
        <f>_xlfn.XLOOKUP(M287,'Code Catagories'!A:A,'Code Catagories'!C:C)</f>
        <v>#N/A</v>
      </c>
      <c r="H287" s="1" t="s">
        <v>134</v>
      </c>
      <c r="I287" s="1" t="s">
        <v>134</v>
      </c>
      <c r="J287" s="1" t="s">
        <v>134</v>
      </c>
      <c r="K287" s="1" t="s">
        <v>134</v>
      </c>
      <c r="L287" s="10" t="s">
        <v>679</v>
      </c>
      <c r="M287" s="11" t="str">
        <f t="shared" si="13"/>
        <v>—</v>
      </c>
      <c r="N287" s="1" t="str">
        <f t="shared" si="14"/>
        <v>006Rg00000bh4vvIAA</v>
      </c>
    </row>
    <row r="288" spans="1:14" ht="29.15" x14ac:dyDescent="0.4">
      <c r="A288" s="1">
        <v>5</v>
      </c>
      <c r="B288" s="1">
        <v>16</v>
      </c>
      <c r="C288" s="1" t="s">
        <v>680</v>
      </c>
      <c r="D288" s="1" t="s">
        <v>2</v>
      </c>
      <c r="E288" s="1" t="s">
        <v>134</v>
      </c>
      <c r="F288" s="1" t="s">
        <v>134</v>
      </c>
      <c r="G288" s="11" t="e">
        <f>_xlfn.XLOOKUP(M288,'Code Catagories'!A:A,'Code Catagories'!C:C)</f>
        <v>#N/A</v>
      </c>
      <c r="H288" s="1" t="s">
        <v>134</v>
      </c>
      <c r="I288" s="1" t="s">
        <v>134</v>
      </c>
      <c r="J288" s="1" t="s">
        <v>134</v>
      </c>
      <c r="K288" s="1" t="s">
        <v>134</v>
      </c>
      <c r="L288" s="10" t="s">
        <v>681</v>
      </c>
      <c r="M288" s="11" t="str">
        <f t="shared" si="13"/>
        <v>—</v>
      </c>
      <c r="N288" s="1" t="str">
        <f t="shared" si="14"/>
        <v>006Rg00000bh18QIAQ</v>
      </c>
    </row>
    <row r="289" spans="1:14" ht="43.75" x14ac:dyDescent="0.4">
      <c r="A289" s="1">
        <v>5</v>
      </c>
      <c r="B289" s="1">
        <v>16</v>
      </c>
      <c r="C289" s="1" t="s">
        <v>682</v>
      </c>
      <c r="D289" s="1" t="s">
        <v>1</v>
      </c>
      <c r="E289" s="1" t="s">
        <v>683</v>
      </c>
      <c r="F289" s="1" t="s">
        <v>137</v>
      </c>
      <c r="G289" s="11" t="str">
        <f>_xlfn.XLOOKUP(M289,'Code Catagories'!A:A,'Code Catagories'!C:C)</f>
        <v>4B. Ancillary Fees</v>
      </c>
      <c r="H289" s="1" t="s">
        <v>134</v>
      </c>
      <c r="I289" s="1" t="s">
        <v>247</v>
      </c>
      <c r="J289" s="1" t="s">
        <v>203</v>
      </c>
      <c r="K289" s="1" t="s">
        <v>141</v>
      </c>
      <c r="L289" s="10" t="s">
        <v>684</v>
      </c>
      <c r="M289" s="11" t="str">
        <f t="shared" si="13"/>
        <v>4B</v>
      </c>
      <c r="N289" s="1" t="str">
        <f t="shared" si="14"/>
        <v>006Rg00000bhHExIAM</v>
      </c>
    </row>
    <row r="290" spans="1:14" ht="29.15" x14ac:dyDescent="0.4">
      <c r="A290" s="1">
        <v>5</v>
      </c>
      <c r="B290" s="1">
        <v>16</v>
      </c>
      <c r="C290" s="1" t="s">
        <v>685</v>
      </c>
      <c r="D290" s="1" t="s">
        <v>1</v>
      </c>
      <c r="E290" s="1" t="s">
        <v>686</v>
      </c>
      <c r="F290" s="1" t="s">
        <v>222</v>
      </c>
      <c r="G290" s="11" t="str">
        <f>_xlfn.XLOOKUP(M290,'Code Catagories'!A:A,'Code Catagories'!C:C)</f>
        <v>4C. Commercial Model</v>
      </c>
      <c r="H290" s="1" t="s">
        <v>134</v>
      </c>
      <c r="I290" s="1" t="s">
        <v>239</v>
      </c>
      <c r="J290" s="1" t="s">
        <v>203</v>
      </c>
      <c r="K290" s="1" t="s">
        <v>141</v>
      </c>
      <c r="L290" s="10" t="s">
        <v>687</v>
      </c>
      <c r="M290" s="11" t="str">
        <f t="shared" si="13"/>
        <v>4C</v>
      </c>
      <c r="N290" s="1" t="str">
        <f t="shared" si="14"/>
        <v>006Rg00000bhYh8IAE</v>
      </c>
    </row>
    <row r="291" spans="1:14" ht="43.75" x14ac:dyDescent="0.4">
      <c r="A291" s="1">
        <v>5</v>
      </c>
      <c r="B291" s="1">
        <v>16</v>
      </c>
      <c r="C291" s="1" t="s">
        <v>685</v>
      </c>
      <c r="D291" s="1" t="s">
        <v>1</v>
      </c>
      <c r="E291" s="1" t="s">
        <v>686</v>
      </c>
      <c r="F291" s="1" t="s">
        <v>192</v>
      </c>
      <c r="G291" s="11" t="str">
        <f>_xlfn.XLOOKUP(M291,'Code Catagories'!A:A,'Code Catagories'!C:C)</f>
        <v>4D. Contract Mechanics</v>
      </c>
      <c r="H291" s="1" t="s">
        <v>134</v>
      </c>
      <c r="I291" s="1" t="s">
        <v>279</v>
      </c>
      <c r="J291" s="1" t="s">
        <v>203</v>
      </c>
      <c r="K291" s="1" t="s">
        <v>309</v>
      </c>
      <c r="L291" s="10" t="s">
        <v>688</v>
      </c>
      <c r="M291" s="11" t="str">
        <f t="shared" si="13"/>
        <v>4D</v>
      </c>
      <c r="N291" s="1" t="str">
        <f t="shared" si="14"/>
        <v>006Rg00000bhYh8IAE</v>
      </c>
    </row>
    <row r="292" spans="1:14" x14ac:dyDescent="0.4">
      <c r="A292" s="1">
        <v>5</v>
      </c>
      <c r="B292" s="1">
        <v>17</v>
      </c>
      <c r="C292" s="1" t="s">
        <v>123</v>
      </c>
      <c r="D292" s="1" t="s">
        <v>1</v>
      </c>
      <c r="E292" s="1" t="s">
        <v>134</v>
      </c>
      <c r="F292" s="1" t="s">
        <v>134</v>
      </c>
      <c r="G292" s="11" t="e">
        <f>_xlfn.XLOOKUP(M292,'Code Catagories'!A:A,'Code Catagories'!C:C)</f>
        <v>#N/A</v>
      </c>
      <c r="H292" s="1" t="s">
        <v>134</v>
      </c>
      <c r="I292" s="1" t="s">
        <v>134</v>
      </c>
      <c r="J292" s="1" t="s">
        <v>134</v>
      </c>
      <c r="K292" s="1" t="s">
        <v>134</v>
      </c>
      <c r="L292" s="10" t="s">
        <v>135</v>
      </c>
      <c r="M292" s="11" t="str">
        <f t="shared" ref="M292:M310" si="15">TRIM(F292)</f>
        <v>—</v>
      </c>
      <c r="N292" s="1" t="str">
        <f t="shared" ref="N292:N310" si="16">TRIM(C292)</f>
        <v>006Rg00000bI5vCIAS</v>
      </c>
    </row>
    <row r="293" spans="1:14" x14ac:dyDescent="0.4">
      <c r="A293" s="1">
        <v>5</v>
      </c>
      <c r="B293" s="1">
        <v>17</v>
      </c>
      <c r="C293" s="1" t="s">
        <v>689</v>
      </c>
      <c r="D293" s="1" t="s">
        <v>1</v>
      </c>
      <c r="E293" s="1" t="s">
        <v>134</v>
      </c>
      <c r="F293" s="1" t="s">
        <v>134</v>
      </c>
      <c r="G293" s="11" t="e">
        <f>_xlfn.XLOOKUP(M293,'Code Catagories'!A:A,'Code Catagories'!C:C)</f>
        <v>#N/A</v>
      </c>
      <c r="H293" s="1" t="s">
        <v>134</v>
      </c>
      <c r="I293" s="1" t="s">
        <v>134</v>
      </c>
      <c r="J293" s="1" t="s">
        <v>134</v>
      </c>
      <c r="K293" s="1" t="s">
        <v>134</v>
      </c>
      <c r="L293" s="10" t="s">
        <v>135</v>
      </c>
      <c r="M293" s="11" t="str">
        <f t="shared" si="15"/>
        <v>—</v>
      </c>
      <c r="N293" s="1" t="str">
        <f t="shared" si="16"/>
        <v>006Rg00000bIE8tIAG</v>
      </c>
    </row>
    <row r="294" spans="1:14" x14ac:dyDescent="0.4">
      <c r="A294" s="1">
        <v>5</v>
      </c>
      <c r="B294" s="1">
        <v>17</v>
      </c>
      <c r="C294" s="1" t="s">
        <v>690</v>
      </c>
      <c r="D294" s="1" t="s">
        <v>2</v>
      </c>
      <c r="E294" s="1" t="s">
        <v>134</v>
      </c>
      <c r="F294" s="1" t="s">
        <v>134</v>
      </c>
      <c r="G294" s="11" t="e">
        <f>_xlfn.XLOOKUP(M294,'Code Catagories'!A:A,'Code Catagories'!C:C)</f>
        <v>#N/A</v>
      </c>
      <c r="H294" s="1" t="s">
        <v>134</v>
      </c>
      <c r="I294" s="1" t="s">
        <v>134</v>
      </c>
      <c r="J294" s="1" t="s">
        <v>134</v>
      </c>
      <c r="K294" s="1" t="s">
        <v>134</v>
      </c>
      <c r="L294" s="10" t="s">
        <v>135</v>
      </c>
      <c r="M294" s="11" t="str">
        <f t="shared" si="15"/>
        <v>—</v>
      </c>
      <c r="N294" s="1" t="str">
        <f t="shared" si="16"/>
        <v>006Rg00000bIJLSIA4</v>
      </c>
    </row>
    <row r="295" spans="1:14" x14ac:dyDescent="0.4">
      <c r="A295" s="1">
        <v>5</v>
      </c>
      <c r="B295" s="1">
        <v>17</v>
      </c>
      <c r="C295" s="1" t="s">
        <v>691</v>
      </c>
      <c r="D295" s="1" t="s">
        <v>2</v>
      </c>
      <c r="E295" s="1" t="s">
        <v>134</v>
      </c>
      <c r="F295" s="1" t="s">
        <v>134</v>
      </c>
      <c r="G295" s="11" t="e">
        <f>_xlfn.XLOOKUP(M295,'Code Catagories'!A:A,'Code Catagories'!C:C)</f>
        <v>#N/A</v>
      </c>
      <c r="H295" s="1" t="s">
        <v>134</v>
      </c>
      <c r="I295" s="1" t="s">
        <v>134</v>
      </c>
      <c r="J295" s="1" t="s">
        <v>134</v>
      </c>
      <c r="K295" s="1" t="s">
        <v>134</v>
      </c>
      <c r="L295" s="10" t="s">
        <v>135</v>
      </c>
      <c r="M295" s="11" t="str">
        <f t="shared" si="15"/>
        <v>—</v>
      </c>
      <c r="N295" s="1" t="str">
        <f t="shared" si="16"/>
        <v>006Rg00000bIN47IAG</v>
      </c>
    </row>
    <row r="296" spans="1:14" x14ac:dyDescent="0.4">
      <c r="A296" s="1">
        <v>5</v>
      </c>
      <c r="B296" s="1">
        <v>17</v>
      </c>
      <c r="C296" s="1" t="s">
        <v>692</v>
      </c>
      <c r="D296" s="1" t="s">
        <v>2</v>
      </c>
      <c r="E296" s="1" t="s">
        <v>134</v>
      </c>
      <c r="F296" s="1" t="s">
        <v>134</v>
      </c>
      <c r="G296" s="11" t="e">
        <f>_xlfn.XLOOKUP(M296,'Code Catagories'!A:A,'Code Catagories'!C:C)</f>
        <v>#N/A</v>
      </c>
      <c r="H296" s="1" t="s">
        <v>134</v>
      </c>
      <c r="I296" s="1" t="s">
        <v>134</v>
      </c>
      <c r="J296" s="1" t="s">
        <v>134</v>
      </c>
      <c r="K296" s="1" t="s">
        <v>134</v>
      </c>
      <c r="L296" s="10" t="s">
        <v>135</v>
      </c>
      <c r="M296" s="11" t="str">
        <f t="shared" si="15"/>
        <v>—</v>
      </c>
      <c r="N296" s="1" t="str">
        <f t="shared" si="16"/>
        <v>006Rg00000bIoqfIAC</v>
      </c>
    </row>
    <row r="297" spans="1:14" x14ac:dyDescent="0.4">
      <c r="A297" s="1">
        <v>5</v>
      </c>
      <c r="B297" s="1">
        <v>17</v>
      </c>
      <c r="C297" s="1" t="s">
        <v>693</v>
      </c>
      <c r="D297" s="1" t="s">
        <v>1</v>
      </c>
      <c r="E297" s="1" t="s">
        <v>134</v>
      </c>
      <c r="F297" s="1" t="s">
        <v>134</v>
      </c>
      <c r="G297" s="11" t="e">
        <f>_xlfn.XLOOKUP(M297,'Code Catagories'!A:A,'Code Catagories'!C:C)</f>
        <v>#N/A</v>
      </c>
      <c r="H297" s="1" t="s">
        <v>134</v>
      </c>
      <c r="I297" s="1" t="s">
        <v>134</v>
      </c>
      <c r="J297" s="1" t="s">
        <v>134</v>
      </c>
      <c r="K297" s="1" t="s">
        <v>134</v>
      </c>
      <c r="L297" s="10" t="s">
        <v>135</v>
      </c>
      <c r="M297" s="11" t="str">
        <f t="shared" si="15"/>
        <v>—</v>
      </c>
      <c r="N297" s="1" t="str">
        <f t="shared" si="16"/>
        <v>006Rg00000bIvYoIAK</v>
      </c>
    </row>
    <row r="298" spans="1:14" x14ac:dyDescent="0.4">
      <c r="A298" s="1">
        <v>5</v>
      </c>
      <c r="B298" s="1">
        <v>17</v>
      </c>
      <c r="C298" s="1" t="s">
        <v>694</v>
      </c>
      <c r="D298" s="1" t="s">
        <v>1</v>
      </c>
      <c r="E298" s="1" t="s">
        <v>134</v>
      </c>
      <c r="F298" s="1" t="s">
        <v>134</v>
      </c>
      <c r="G298" s="11" t="e">
        <f>_xlfn.XLOOKUP(M298,'Code Catagories'!A:A,'Code Catagories'!C:C)</f>
        <v>#N/A</v>
      </c>
      <c r="H298" s="1" t="s">
        <v>134</v>
      </c>
      <c r="I298" s="1" t="s">
        <v>134</v>
      </c>
      <c r="J298" s="1" t="s">
        <v>134</v>
      </c>
      <c r="K298" s="1" t="s">
        <v>134</v>
      </c>
      <c r="L298" s="10" t="s">
        <v>135</v>
      </c>
      <c r="M298" s="11" t="str">
        <f t="shared" si="15"/>
        <v>—</v>
      </c>
      <c r="N298" s="1" t="str">
        <f t="shared" si="16"/>
        <v>006Rg00000bIYdqIAG</v>
      </c>
    </row>
    <row r="299" spans="1:14" ht="29.15" x14ac:dyDescent="0.4">
      <c r="A299" s="1">
        <v>5</v>
      </c>
      <c r="B299" s="1">
        <v>17</v>
      </c>
      <c r="C299" s="1" t="s">
        <v>695</v>
      </c>
      <c r="D299" s="1" t="s">
        <v>1</v>
      </c>
      <c r="E299" s="1" t="s">
        <v>696</v>
      </c>
      <c r="F299" s="1" t="s">
        <v>137</v>
      </c>
      <c r="G299" s="11" t="str">
        <f>_xlfn.XLOOKUP(M299,'Code Catagories'!A:A,'Code Catagories'!C:C)</f>
        <v>4B. Ancillary Fees</v>
      </c>
      <c r="H299" s="1" t="s">
        <v>134</v>
      </c>
      <c r="I299" s="1" t="s">
        <v>697</v>
      </c>
      <c r="J299" s="1" t="s">
        <v>203</v>
      </c>
      <c r="K299" s="1" t="s">
        <v>141</v>
      </c>
      <c r="L299" s="10" t="s">
        <v>698</v>
      </c>
      <c r="M299" s="11" t="str">
        <f t="shared" si="15"/>
        <v>4B</v>
      </c>
      <c r="N299" s="1" t="str">
        <f t="shared" si="16"/>
        <v>006Rg00000bJ2QcIAK</v>
      </c>
    </row>
    <row r="300" spans="1:14" ht="43.75" x14ac:dyDescent="0.4">
      <c r="A300" s="1">
        <v>5</v>
      </c>
      <c r="B300" s="1">
        <v>17</v>
      </c>
      <c r="C300" s="1" t="s">
        <v>699</v>
      </c>
      <c r="D300" s="1" t="s">
        <v>1</v>
      </c>
      <c r="E300" s="1" t="s">
        <v>700</v>
      </c>
      <c r="F300" s="1" t="s">
        <v>192</v>
      </c>
      <c r="G300" s="11" t="str">
        <f>_xlfn.XLOOKUP(M300,'Code Catagories'!A:A,'Code Catagories'!C:C)</f>
        <v>4D. Contract Mechanics</v>
      </c>
      <c r="H300" s="1" t="s">
        <v>138</v>
      </c>
      <c r="I300" s="1" t="s">
        <v>394</v>
      </c>
      <c r="J300" s="1" t="s">
        <v>140</v>
      </c>
      <c r="K300" s="1" t="s">
        <v>148</v>
      </c>
      <c r="L300" s="10" t="s">
        <v>701</v>
      </c>
      <c r="M300" s="11" t="str">
        <f t="shared" si="15"/>
        <v>4D</v>
      </c>
      <c r="N300" s="1" t="str">
        <f t="shared" si="16"/>
        <v>006Rg00000bJB8yIAG</v>
      </c>
    </row>
    <row r="301" spans="1:14" ht="29.15" x14ac:dyDescent="0.4">
      <c r="A301" s="1">
        <v>5</v>
      </c>
      <c r="B301" s="1">
        <v>17</v>
      </c>
      <c r="C301" s="1" t="s">
        <v>702</v>
      </c>
      <c r="D301" s="1" t="s">
        <v>1</v>
      </c>
      <c r="E301" s="1" t="s">
        <v>703</v>
      </c>
      <c r="F301" s="1" t="s">
        <v>192</v>
      </c>
      <c r="G301" s="11" t="str">
        <f>_xlfn.XLOOKUP(M301,'Code Catagories'!A:A,'Code Catagories'!C:C)</f>
        <v>4D. Contract Mechanics</v>
      </c>
      <c r="H301" s="1" t="s">
        <v>138</v>
      </c>
      <c r="I301" s="1" t="s">
        <v>193</v>
      </c>
      <c r="J301" s="1" t="s">
        <v>140</v>
      </c>
      <c r="K301" s="1" t="s">
        <v>148</v>
      </c>
      <c r="L301" s="10" t="s">
        <v>704</v>
      </c>
      <c r="M301" s="11" t="str">
        <f t="shared" si="15"/>
        <v>4D</v>
      </c>
      <c r="N301" s="1" t="str">
        <f t="shared" si="16"/>
        <v>006Rg00000bJBaMIAW</v>
      </c>
    </row>
    <row r="302" spans="1:14" x14ac:dyDescent="0.4">
      <c r="A302" s="1">
        <v>5</v>
      </c>
      <c r="B302" s="1">
        <v>17</v>
      </c>
      <c r="C302" s="1" t="s">
        <v>705</v>
      </c>
      <c r="D302" s="1" t="s">
        <v>2</v>
      </c>
      <c r="E302" s="1" t="s">
        <v>706</v>
      </c>
      <c r="F302" s="1" t="s">
        <v>134</v>
      </c>
      <c r="G302" s="11" t="e">
        <f>_xlfn.XLOOKUP(M302,'Code Catagories'!A:A,'Code Catagories'!C:C)</f>
        <v>#N/A</v>
      </c>
      <c r="H302" s="1" t="s">
        <v>134</v>
      </c>
      <c r="I302" s="1" t="s">
        <v>134</v>
      </c>
      <c r="J302" s="1" t="s">
        <v>134</v>
      </c>
      <c r="K302" s="1" t="s">
        <v>134</v>
      </c>
      <c r="L302" s="10" t="s">
        <v>135</v>
      </c>
      <c r="M302" s="11" t="str">
        <f t="shared" si="15"/>
        <v>—</v>
      </c>
      <c r="N302" s="1" t="str">
        <f t="shared" si="16"/>
        <v>006Rg00000bJO1JIAW</v>
      </c>
    </row>
    <row r="303" spans="1:14" ht="29.15" x14ac:dyDescent="0.4">
      <c r="A303" s="1">
        <v>5</v>
      </c>
      <c r="B303" s="1">
        <v>17</v>
      </c>
      <c r="C303" s="1" t="s">
        <v>707</v>
      </c>
      <c r="D303" s="1" t="s">
        <v>1</v>
      </c>
      <c r="E303" s="1" t="s">
        <v>134</v>
      </c>
      <c r="F303" s="1" t="s">
        <v>153</v>
      </c>
      <c r="G303" s="11" t="str">
        <f>_xlfn.XLOOKUP(M303,'Code Catagories'!A:A,'Code Catagories'!C:C)</f>
        <v>4E. Availability / Serviceability</v>
      </c>
      <c r="H303" s="1" t="s">
        <v>138</v>
      </c>
      <c r="I303" s="1" t="s">
        <v>154</v>
      </c>
      <c r="J303" s="1" t="s">
        <v>147</v>
      </c>
      <c r="K303" s="1" t="s">
        <v>148</v>
      </c>
      <c r="L303" s="10" t="s">
        <v>708</v>
      </c>
      <c r="M303" s="11" t="str">
        <f t="shared" si="15"/>
        <v>4E</v>
      </c>
      <c r="N303" s="1" t="str">
        <f t="shared" si="16"/>
        <v>006Rg00000bJo8gIAC</v>
      </c>
    </row>
    <row r="304" spans="1:14" ht="29.15" x14ac:dyDescent="0.4">
      <c r="A304" s="1">
        <v>5</v>
      </c>
      <c r="B304" s="1">
        <v>17</v>
      </c>
      <c r="C304" s="1" t="s">
        <v>707</v>
      </c>
      <c r="D304" s="1" t="s">
        <v>1</v>
      </c>
      <c r="E304" s="1" t="s">
        <v>134</v>
      </c>
      <c r="F304" s="1" t="s">
        <v>137</v>
      </c>
      <c r="G304" s="11" t="str">
        <f>_xlfn.XLOOKUP(M304,'Code Catagories'!A:A,'Code Catagories'!C:C)</f>
        <v>4B. Ancillary Fees</v>
      </c>
      <c r="H304" s="1" t="s">
        <v>134</v>
      </c>
      <c r="I304" s="1" t="s">
        <v>247</v>
      </c>
      <c r="J304" s="1" t="s">
        <v>147</v>
      </c>
      <c r="K304" s="1" t="s">
        <v>148</v>
      </c>
      <c r="L304" s="10" t="s">
        <v>709</v>
      </c>
      <c r="M304" s="11" t="str">
        <f t="shared" si="15"/>
        <v>4B</v>
      </c>
      <c r="N304" s="1" t="str">
        <f t="shared" si="16"/>
        <v>006Rg00000bJo8gIAC</v>
      </c>
    </row>
    <row r="305" spans="1:14" ht="29.15" x14ac:dyDescent="0.4">
      <c r="A305" s="1">
        <v>5</v>
      </c>
      <c r="B305" s="1">
        <v>17</v>
      </c>
      <c r="C305" s="1" t="s">
        <v>710</v>
      </c>
      <c r="D305" s="1" t="s">
        <v>2</v>
      </c>
      <c r="E305" s="1" t="s">
        <v>134</v>
      </c>
      <c r="F305" s="1" t="s">
        <v>134</v>
      </c>
      <c r="G305" s="11" t="e">
        <f>_xlfn.XLOOKUP(M305,'Code Catagories'!A:A,'Code Catagories'!C:C)</f>
        <v>#N/A</v>
      </c>
      <c r="H305" s="1" t="s">
        <v>134</v>
      </c>
      <c r="I305" s="1" t="s">
        <v>134</v>
      </c>
      <c r="J305" s="1" t="s">
        <v>308</v>
      </c>
      <c r="K305" s="1" t="s">
        <v>309</v>
      </c>
      <c r="L305" s="10" t="s">
        <v>711</v>
      </c>
      <c r="M305" s="11" t="str">
        <f t="shared" si="15"/>
        <v>—</v>
      </c>
      <c r="N305" s="1" t="str">
        <f t="shared" si="16"/>
        <v>006Rg00000bJWIDIA4</v>
      </c>
    </row>
    <row r="306" spans="1:14" x14ac:dyDescent="0.4">
      <c r="A306" s="1">
        <v>5</v>
      </c>
      <c r="B306" s="1">
        <v>17</v>
      </c>
      <c r="C306" s="1" t="s">
        <v>712</v>
      </c>
      <c r="D306" s="1" t="s">
        <v>2</v>
      </c>
      <c r="E306" s="1" t="s">
        <v>713</v>
      </c>
      <c r="F306" s="1" t="s">
        <v>134</v>
      </c>
      <c r="G306" s="11" t="e">
        <f>_xlfn.XLOOKUP(M306,'Code Catagories'!A:A,'Code Catagories'!C:C)</f>
        <v>#N/A</v>
      </c>
      <c r="H306" s="1" t="s">
        <v>134</v>
      </c>
      <c r="I306" s="1" t="s">
        <v>134</v>
      </c>
      <c r="J306" s="1" t="s">
        <v>134</v>
      </c>
      <c r="K306" s="1" t="s">
        <v>134</v>
      </c>
      <c r="L306" s="10" t="s">
        <v>135</v>
      </c>
      <c r="M306" s="11" t="str">
        <f t="shared" si="15"/>
        <v>—</v>
      </c>
      <c r="N306" s="1" t="str">
        <f t="shared" si="16"/>
        <v>006Rg00000bKpM5IAK</v>
      </c>
    </row>
    <row r="307" spans="1:14" ht="29.15" x14ac:dyDescent="0.4">
      <c r="A307" s="1">
        <v>5</v>
      </c>
      <c r="B307" s="1">
        <v>17</v>
      </c>
      <c r="C307" s="1" t="s">
        <v>714</v>
      </c>
      <c r="D307" s="1" t="s">
        <v>1</v>
      </c>
      <c r="E307" s="1" t="s">
        <v>715</v>
      </c>
      <c r="F307" s="1" t="s">
        <v>145</v>
      </c>
      <c r="G307" s="11" t="str">
        <f>_xlfn.XLOOKUP(M307,'Code Catagories'!A:A,'Code Catagories'!C:C)</f>
        <v>4A. Rate Uncompetitive</v>
      </c>
      <c r="H307" s="1" t="s">
        <v>134</v>
      </c>
      <c r="I307" s="1" t="s">
        <v>146</v>
      </c>
      <c r="J307" s="1" t="s">
        <v>203</v>
      </c>
      <c r="K307" s="1" t="s">
        <v>141</v>
      </c>
      <c r="L307" s="10" t="s">
        <v>716</v>
      </c>
      <c r="M307" s="11" t="str">
        <f t="shared" si="15"/>
        <v>4A</v>
      </c>
      <c r="N307" s="1" t="str">
        <f t="shared" si="16"/>
        <v>006Rg00000bL6GSIA0</v>
      </c>
    </row>
    <row r="308" spans="1:14" ht="29.15" x14ac:dyDescent="0.4">
      <c r="A308" s="1">
        <v>5</v>
      </c>
      <c r="B308" s="1">
        <v>17</v>
      </c>
      <c r="C308" s="1" t="s">
        <v>714</v>
      </c>
      <c r="D308" s="1" t="s">
        <v>1</v>
      </c>
      <c r="E308" s="1" t="s">
        <v>715</v>
      </c>
      <c r="F308" s="1" t="s">
        <v>153</v>
      </c>
      <c r="G308" s="11" t="str">
        <f>_xlfn.XLOOKUP(M308,'Code Catagories'!A:A,'Code Catagories'!C:C)</f>
        <v>4E. Availability / Serviceability</v>
      </c>
      <c r="H308" s="1" t="s">
        <v>138</v>
      </c>
      <c r="I308" s="1" t="s">
        <v>236</v>
      </c>
      <c r="J308" s="1" t="s">
        <v>147</v>
      </c>
      <c r="K308" s="1" t="s">
        <v>148</v>
      </c>
      <c r="L308" s="10" t="s">
        <v>717</v>
      </c>
      <c r="M308" s="11" t="str">
        <f t="shared" si="15"/>
        <v>4E</v>
      </c>
      <c r="N308" s="1" t="str">
        <f t="shared" si="16"/>
        <v>006Rg00000bL6GSIA0</v>
      </c>
    </row>
    <row r="309" spans="1:14" x14ac:dyDescent="0.4">
      <c r="A309" s="1">
        <v>5</v>
      </c>
      <c r="B309" s="1">
        <v>17</v>
      </c>
      <c r="C309" s="1" t="s">
        <v>718</v>
      </c>
      <c r="D309" s="1" t="s">
        <v>1</v>
      </c>
      <c r="E309" s="1" t="s">
        <v>719</v>
      </c>
      <c r="F309" s="1" t="s">
        <v>134</v>
      </c>
      <c r="G309" s="11" t="e">
        <f>_xlfn.XLOOKUP(M309,'Code Catagories'!A:A,'Code Catagories'!C:C)</f>
        <v>#N/A</v>
      </c>
      <c r="H309" s="1" t="s">
        <v>134</v>
      </c>
      <c r="I309" s="1" t="s">
        <v>134</v>
      </c>
      <c r="J309" s="1" t="s">
        <v>134</v>
      </c>
      <c r="K309" s="1" t="s">
        <v>134</v>
      </c>
      <c r="L309" s="10" t="s">
        <v>135</v>
      </c>
      <c r="M309" s="11" t="str">
        <f t="shared" si="15"/>
        <v>—</v>
      </c>
      <c r="N309" s="1" t="str">
        <f t="shared" si="16"/>
        <v>006Rg00000bL9UQIA0</v>
      </c>
    </row>
    <row r="310" spans="1:14" x14ac:dyDescent="0.4">
      <c r="A310" s="1">
        <v>5</v>
      </c>
      <c r="B310" s="1">
        <v>17</v>
      </c>
      <c r="C310" s="1" t="s">
        <v>720</v>
      </c>
      <c r="D310" s="1" t="s">
        <v>1</v>
      </c>
      <c r="E310" s="1" t="s">
        <v>721</v>
      </c>
      <c r="F310" s="1" t="s">
        <v>134</v>
      </c>
      <c r="G310" s="11" t="e">
        <f>_xlfn.XLOOKUP(M310,'Code Catagories'!A:A,'Code Catagories'!C:C)</f>
        <v>#N/A</v>
      </c>
      <c r="H310" s="1" t="s">
        <v>134</v>
      </c>
      <c r="I310" s="1" t="s">
        <v>134</v>
      </c>
      <c r="J310" s="1" t="s">
        <v>134</v>
      </c>
      <c r="K310" s="1" t="s">
        <v>134</v>
      </c>
      <c r="L310" s="10" t="s">
        <v>135</v>
      </c>
      <c r="M310" s="11" t="str">
        <f t="shared" si="15"/>
        <v>—</v>
      </c>
      <c r="N310" s="1" t="str">
        <f t="shared" si="16"/>
        <v>006Rg00000bLGcNIAW</v>
      </c>
    </row>
    <row r="311" spans="1:14" ht="29.15" x14ac:dyDescent="0.4">
      <c r="A311" s="1">
        <v>5</v>
      </c>
      <c r="B311" s="1">
        <v>18</v>
      </c>
      <c r="C311" s="1" t="s">
        <v>722</v>
      </c>
      <c r="D311" s="1" t="s">
        <v>2</v>
      </c>
      <c r="E311" s="1" t="s">
        <v>723</v>
      </c>
      <c r="F311" s="1" t="s">
        <v>222</v>
      </c>
      <c r="G311" s="11" t="str">
        <f>_xlfn.XLOOKUP(M311,'Code Catagories'!A:A,'Code Catagories'!C:C)</f>
        <v>4C. Commercial Model</v>
      </c>
      <c r="H311" s="1" t="s">
        <v>134</v>
      </c>
      <c r="I311" s="1" t="s">
        <v>279</v>
      </c>
      <c r="J311" s="1" t="s">
        <v>203</v>
      </c>
      <c r="K311" s="1" t="s">
        <v>141</v>
      </c>
      <c r="L311" s="10" t="s">
        <v>724</v>
      </c>
      <c r="M311" s="11" t="str">
        <f t="shared" ref="M311:M332" si="17">TRIM(F311)</f>
        <v>4C</v>
      </c>
      <c r="N311" s="1" t="str">
        <f t="shared" ref="N311:N332" si="18">TRIM(C311)</f>
        <v>006Rg00000bLTg2IAG</v>
      </c>
    </row>
    <row r="312" spans="1:14" x14ac:dyDescent="0.4">
      <c r="A312" s="1">
        <v>5</v>
      </c>
      <c r="B312" s="1">
        <v>18</v>
      </c>
      <c r="C312" s="1" t="s">
        <v>725</v>
      </c>
      <c r="D312" s="1" t="s">
        <v>1</v>
      </c>
      <c r="E312" s="1" t="s">
        <v>726</v>
      </c>
      <c r="F312" s="1" t="s">
        <v>134</v>
      </c>
      <c r="G312" s="11" t="e">
        <f>_xlfn.XLOOKUP(M312,'Code Catagories'!A:A,'Code Catagories'!C:C)</f>
        <v>#N/A</v>
      </c>
      <c r="H312" s="1" t="s">
        <v>134</v>
      </c>
      <c r="I312" s="1" t="s">
        <v>134</v>
      </c>
      <c r="J312" s="1" t="s">
        <v>134</v>
      </c>
      <c r="K312" s="1" t="s">
        <v>134</v>
      </c>
      <c r="L312" s="10" t="s">
        <v>135</v>
      </c>
      <c r="M312" s="11" t="str">
        <f t="shared" si="17"/>
        <v>—</v>
      </c>
      <c r="N312" s="1" t="str">
        <f t="shared" si="18"/>
        <v>006Rg00000bLORqIAO</v>
      </c>
    </row>
    <row r="313" spans="1:14" x14ac:dyDescent="0.4">
      <c r="A313" s="1">
        <v>5</v>
      </c>
      <c r="B313" s="1">
        <v>18</v>
      </c>
      <c r="C313" s="1" t="s">
        <v>727</v>
      </c>
      <c r="D313" s="1" t="s">
        <v>1</v>
      </c>
      <c r="E313" s="1" t="s">
        <v>728</v>
      </c>
      <c r="F313" s="1" t="s">
        <v>134</v>
      </c>
      <c r="G313" s="11" t="e">
        <f>_xlfn.XLOOKUP(M313,'Code Catagories'!A:A,'Code Catagories'!C:C)</f>
        <v>#N/A</v>
      </c>
      <c r="H313" s="1" t="s">
        <v>134</v>
      </c>
      <c r="I313" s="1" t="s">
        <v>134</v>
      </c>
      <c r="J313" s="1" t="s">
        <v>134</v>
      </c>
      <c r="K313" s="1" t="s">
        <v>134</v>
      </c>
      <c r="L313" s="10" t="s">
        <v>135</v>
      </c>
      <c r="M313" s="11" t="str">
        <f t="shared" si="17"/>
        <v>—</v>
      </c>
      <c r="N313" s="1" t="str">
        <f t="shared" si="18"/>
        <v>006Rg00000bLOurIAG</v>
      </c>
    </row>
    <row r="314" spans="1:14" ht="43.75" x14ac:dyDescent="0.4">
      <c r="A314" s="1">
        <v>5</v>
      </c>
      <c r="B314" s="1">
        <v>18</v>
      </c>
      <c r="C314" s="1" t="s">
        <v>729</v>
      </c>
      <c r="D314" s="1" t="s">
        <v>1</v>
      </c>
      <c r="E314" s="1" t="s">
        <v>730</v>
      </c>
      <c r="F314" s="1" t="s">
        <v>153</v>
      </c>
      <c r="G314" s="11" t="str">
        <f>_xlfn.XLOOKUP(M314,'Code Catagories'!A:A,'Code Catagories'!C:C)</f>
        <v>4E. Availability / Serviceability</v>
      </c>
      <c r="H314" s="1" t="s">
        <v>134</v>
      </c>
      <c r="I314" s="1" t="s">
        <v>236</v>
      </c>
      <c r="J314" s="1" t="s">
        <v>203</v>
      </c>
      <c r="K314" s="1" t="s">
        <v>141</v>
      </c>
      <c r="L314" s="10" t="s">
        <v>731</v>
      </c>
      <c r="M314" s="11" t="str">
        <f t="shared" si="17"/>
        <v>4E</v>
      </c>
      <c r="N314" s="1" t="str">
        <f t="shared" si="18"/>
        <v>006Rg00000bLRWAIA4</v>
      </c>
    </row>
    <row r="315" spans="1:14" ht="43.75" x14ac:dyDescent="0.4">
      <c r="A315" s="1">
        <v>5</v>
      </c>
      <c r="B315" s="1">
        <v>18</v>
      </c>
      <c r="C315" s="1" t="s">
        <v>732</v>
      </c>
      <c r="D315" s="1" t="s">
        <v>2</v>
      </c>
      <c r="E315" s="1" t="s">
        <v>598</v>
      </c>
      <c r="F315" s="1" t="s">
        <v>153</v>
      </c>
      <c r="G315" s="11" t="str">
        <f>_xlfn.XLOOKUP(M315,'Code Catagories'!A:A,'Code Catagories'!C:C)</f>
        <v>4E. Availability / Serviceability</v>
      </c>
      <c r="H315" s="1" t="s">
        <v>134</v>
      </c>
      <c r="I315" s="1" t="s">
        <v>154</v>
      </c>
      <c r="J315" s="1" t="s">
        <v>203</v>
      </c>
      <c r="K315" s="1" t="s">
        <v>141</v>
      </c>
      <c r="L315" s="10" t="s">
        <v>733</v>
      </c>
      <c r="M315" s="11" t="str">
        <f t="shared" si="17"/>
        <v>4E</v>
      </c>
      <c r="N315" s="1" t="str">
        <f t="shared" si="18"/>
        <v>006Rg00000bM1RaIAK</v>
      </c>
    </row>
    <row r="316" spans="1:14" x14ac:dyDescent="0.4">
      <c r="A316" s="1">
        <v>5</v>
      </c>
      <c r="B316" s="1">
        <v>18</v>
      </c>
      <c r="C316" s="1" t="s">
        <v>734</v>
      </c>
      <c r="D316" s="1" t="s">
        <v>1</v>
      </c>
      <c r="E316" s="1" t="s">
        <v>134</v>
      </c>
      <c r="F316" s="1" t="s">
        <v>134</v>
      </c>
      <c r="G316" s="11" t="e">
        <f>_xlfn.XLOOKUP(M316,'Code Catagories'!A:A,'Code Catagories'!C:C)</f>
        <v>#N/A</v>
      </c>
      <c r="H316" s="1" t="s">
        <v>134</v>
      </c>
      <c r="I316" s="1" t="s">
        <v>134</v>
      </c>
      <c r="J316" s="1" t="s">
        <v>134</v>
      </c>
      <c r="K316" s="1" t="s">
        <v>134</v>
      </c>
      <c r="L316" s="10" t="s">
        <v>135</v>
      </c>
      <c r="M316" s="11" t="str">
        <f t="shared" si="17"/>
        <v>—</v>
      </c>
      <c r="N316" s="1" t="str">
        <f t="shared" si="18"/>
        <v>006Rg00000bM7IUIA0</v>
      </c>
    </row>
    <row r="317" spans="1:14" ht="29.15" x14ac:dyDescent="0.4">
      <c r="A317" s="1">
        <v>5</v>
      </c>
      <c r="B317" s="1">
        <v>18</v>
      </c>
      <c r="C317" s="1" t="s">
        <v>735</v>
      </c>
      <c r="D317" s="1" t="s">
        <v>1</v>
      </c>
      <c r="E317" s="1" t="s">
        <v>510</v>
      </c>
      <c r="F317" s="1" t="s">
        <v>222</v>
      </c>
      <c r="G317" s="11" t="str">
        <f>_xlfn.XLOOKUP(M317,'Code Catagories'!A:A,'Code Catagories'!C:C)</f>
        <v>4C. Commercial Model</v>
      </c>
      <c r="H317" s="1" t="s">
        <v>134</v>
      </c>
      <c r="I317" s="1" t="s">
        <v>279</v>
      </c>
      <c r="J317" s="1" t="s">
        <v>203</v>
      </c>
      <c r="K317" s="1" t="s">
        <v>141</v>
      </c>
      <c r="L317" s="10" t="s">
        <v>736</v>
      </c>
      <c r="M317" s="11" t="str">
        <f t="shared" si="17"/>
        <v>4C</v>
      </c>
      <c r="N317" s="1" t="str">
        <f t="shared" si="18"/>
        <v>006Rg00000bM8b7IAC</v>
      </c>
    </row>
    <row r="318" spans="1:14" ht="43.75" x14ac:dyDescent="0.4">
      <c r="A318" s="1">
        <v>5</v>
      </c>
      <c r="B318" s="1">
        <v>18</v>
      </c>
      <c r="C318" s="1" t="s">
        <v>735</v>
      </c>
      <c r="D318" s="1" t="s">
        <v>1</v>
      </c>
      <c r="E318" s="1" t="s">
        <v>510</v>
      </c>
      <c r="F318" s="1" t="s">
        <v>192</v>
      </c>
      <c r="G318" s="11" t="str">
        <f>_xlfn.XLOOKUP(M318,'Code Catagories'!A:A,'Code Catagories'!C:C)</f>
        <v>4D. Contract Mechanics</v>
      </c>
      <c r="H318" s="1" t="s">
        <v>134</v>
      </c>
      <c r="I318" s="1" t="s">
        <v>193</v>
      </c>
      <c r="J318" s="1" t="s">
        <v>224</v>
      </c>
      <c r="K318" s="1" t="s">
        <v>148</v>
      </c>
      <c r="L318" s="10" t="s">
        <v>737</v>
      </c>
      <c r="M318" s="11" t="str">
        <f t="shared" si="17"/>
        <v>4D</v>
      </c>
      <c r="N318" s="1" t="str">
        <f t="shared" si="18"/>
        <v>006Rg00000bM8b7IAC</v>
      </c>
    </row>
    <row r="319" spans="1:14" ht="43.75" x14ac:dyDescent="0.4">
      <c r="A319" s="1">
        <v>5</v>
      </c>
      <c r="B319" s="1">
        <v>18</v>
      </c>
      <c r="C319" s="1" t="s">
        <v>735</v>
      </c>
      <c r="D319" s="1" t="s">
        <v>1</v>
      </c>
      <c r="E319" s="1" t="s">
        <v>510</v>
      </c>
      <c r="F319" s="1" t="s">
        <v>166</v>
      </c>
      <c r="G319" s="11" t="str">
        <f>_xlfn.XLOOKUP(M319,'Code Catagories'!A:A,'Code Catagories'!C:C)</f>
        <v>4F. Promotion Ineligibility</v>
      </c>
      <c r="H319" s="1" t="s">
        <v>134</v>
      </c>
      <c r="I319" s="1" t="s">
        <v>167</v>
      </c>
      <c r="J319" s="1" t="s">
        <v>203</v>
      </c>
      <c r="K319" s="1" t="s">
        <v>141</v>
      </c>
      <c r="L319" s="10" t="s">
        <v>738</v>
      </c>
      <c r="M319" s="11" t="str">
        <f t="shared" si="17"/>
        <v>4F</v>
      </c>
      <c r="N319" s="1" t="str">
        <f t="shared" si="18"/>
        <v>006Rg00000bM8b7IAC</v>
      </c>
    </row>
    <row r="320" spans="1:14" x14ac:dyDescent="0.4">
      <c r="A320" s="1">
        <v>5</v>
      </c>
      <c r="B320" s="1">
        <v>18</v>
      </c>
      <c r="C320" s="1" t="s">
        <v>739</v>
      </c>
      <c r="D320" s="1" t="s">
        <v>1</v>
      </c>
      <c r="E320" s="1" t="s">
        <v>134</v>
      </c>
      <c r="F320" s="1" t="s">
        <v>134</v>
      </c>
      <c r="G320" s="11" t="e">
        <f>_xlfn.XLOOKUP(M320,'Code Catagories'!A:A,'Code Catagories'!C:C)</f>
        <v>#N/A</v>
      </c>
      <c r="H320" s="1" t="s">
        <v>134</v>
      </c>
      <c r="I320" s="1" t="s">
        <v>134</v>
      </c>
      <c r="J320" s="1" t="s">
        <v>134</v>
      </c>
      <c r="K320" s="1" t="s">
        <v>134</v>
      </c>
      <c r="L320" s="10" t="s">
        <v>135</v>
      </c>
      <c r="M320" s="11" t="str">
        <f t="shared" si="17"/>
        <v>—</v>
      </c>
      <c r="N320" s="1" t="str">
        <f t="shared" si="18"/>
        <v>006Rg00000bM84rIAC</v>
      </c>
    </row>
    <row r="321" spans="1:14" x14ac:dyDescent="0.4">
      <c r="A321" s="1">
        <v>5</v>
      </c>
      <c r="B321" s="1">
        <v>19</v>
      </c>
      <c r="C321" s="1" t="s">
        <v>740</v>
      </c>
      <c r="D321" s="1" t="s">
        <v>2</v>
      </c>
      <c r="E321" s="1" t="s">
        <v>741</v>
      </c>
      <c r="F321" s="1" t="s">
        <v>134</v>
      </c>
      <c r="G321" s="11" t="e">
        <f>_xlfn.XLOOKUP(M321,'Code Catagories'!A:A,'Code Catagories'!C:C)</f>
        <v>#N/A</v>
      </c>
      <c r="H321" s="1" t="s">
        <v>134</v>
      </c>
      <c r="I321" s="1" t="s">
        <v>134</v>
      </c>
      <c r="J321" s="1" t="s">
        <v>134</v>
      </c>
      <c r="K321" s="1" t="s">
        <v>134</v>
      </c>
      <c r="L321" s="10" t="s">
        <v>135</v>
      </c>
      <c r="M321" s="11" t="str">
        <f t="shared" si="17"/>
        <v>—</v>
      </c>
      <c r="N321" s="1" t="str">
        <f t="shared" si="18"/>
        <v>006Rg00000bNtmUIAS</v>
      </c>
    </row>
    <row r="322" spans="1:14" ht="29.15" x14ac:dyDescent="0.4">
      <c r="A322" s="1">
        <v>5</v>
      </c>
      <c r="B322" s="1">
        <v>19</v>
      </c>
      <c r="C322" s="1" t="s">
        <v>742</v>
      </c>
      <c r="D322" s="1" t="s">
        <v>2</v>
      </c>
      <c r="E322" s="1" t="s">
        <v>743</v>
      </c>
      <c r="F322" s="1" t="s">
        <v>222</v>
      </c>
      <c r="G322" s="11" t="str">
        <f>_xlfn.XLOOKUP(M322,'Code Catagories'!A:A,'Code Catagories'!C:C)</f>
        <v>4C. Commercial Model</v>
      </c>
      <c r="H322" s="1" t="s">
        <v>134</v>
      </c>
      <c r="I322" s="1" t="s">
        <v>321</v>
      </c>
      <c r="J322" s="1" t="s">
        <v>203</v>
      </c>
      <c r="K322" s="1" t="s">
        <v>148</v>
      </c>
      <c r="L322" s="10" t="s">
        <v>744</v>
      </c>
      <c r="M322" s="11" t="str">
        <f t="shared" si="17"/>
        <v>4C</v>
      </c>
      <c r="N322" s="1" t="str">
        <f t="shared" si="18"/>
        <v>006Rg00000bO2ONIA0</v>
      </c>
    </row>
    <row r="323" spans="1:14" ht="29.15" x14ac:dyDescent="0.4">
      <c r="A323" s="1">
        <v>5</v>
      </c>
      <c r="B323" s="1">
        <v>19</v>
      </c>
      <c r="C323" s="1" t="s">
        <v>745</v>
      </c>
      <c r="D323" s="1" t="s">
        <v>1</v>
      </c>
      <c r="E323" s="1" t="s">
        <v>134</v>
      </c>
      <c r="F323" s="1" t="s">
        <v>153</v>
      </c>
      <c r="G323" s="11" t="str">
        <f>_xlfn.XLOOKUP(M323,'Code Catagories'!A:A,'Code Catagories'!C:C)</f>
        <v>4E. Availability / Serviceability</v>
      </c>
      <c r="H323" s="1" t="s">
        <v>138</v>
      </c>
      <c r="I323" s="1" t="s">
        <v>236</v>
      </c>
      <c r="J323" s="1" t="s">
        <v>147</v>
      </c>
      <c r="K323" s="1" t="s">
        <v>148</v>
      </c>
      <c r="L323" s="10" t="s">
        <v>746</v>
      </c>
      <c r="M323" s="11" t="str">
        <f t="shared" si="17"/>
        <v>4E</v>
      </c>
      <c r="N323" s="1" t="str">
        <f t="shared" si="18"/>
        <v>006Rg00000bO5CZIA0</v>
      </c>
    </row>
    <row r="324" spans="1:14" ht="29.15" x14ac:dyDescent="0.4">
      <c r="A324" s="1">
        <v>5</v>
      </c>
      <c r="B324" s="1">
        <v>19</v>
      </c>
      <c r="C324" s="1" t="s">
        <v>747</v>
      </c>
      <c r="D324" s="1" t="s">
        <v>2</v>
      </c>
      <c r="E324" s="1" t="s">
        <v>490</v>
      </c>
      <c r="F324" s="1" t="s">
        <v>166</v>
      </c>
      <c r="G324" s="11" t="str">
        <f>_xlfn.XLOOKUP(M324,'Code Catagories'!A:A,'Code Catagories'!C:C)</f>
        <v>4F. Promotion Ineligibility</v>
      </c>
      <c r="H324" s="1" t="s">
        <v>134</v>
      </c>
      <c r="I324" s="1" t="s">
        <v>328</v>
      </c>
      <c r="J324" s="1" t="s">
        <v>203</v>
      </c>
      <c r="K324" s="1" t="s">
        <v>141</v>
      </c>
      <c r="L324" s="10" t="s">
        <v>748</v>
      </c>
      <c r="M324" s="11" t="str">
        <f t="shared" si="17"/>
        <v>4F</v>
      </c>
      <c r="N324" s="1" t="str">
        <f t="shared" si="18"/>
        <v>006Rg00000bO7fmIAC</v>
      </c>
    </row>
    <row r="325" spans="1:14" ht="43.75" x14ac:dyDescent="0.4">
      <c r="A325" s="1">
        <v>5</v>
      </c>
      <c r="B325" s="1">
        <v>19</v>
      </c>
      <c r="C325" s="1" t="s">
        <v>749</v>
      </c>
      <c r="D325" s="1" t="s">
        <v>2</v>
      </c>
      <c r="E325" s="1" t="s">
        <v>750</v>
      </c>
      <c r="F325" s="1" t="s">
        <v>222</v>
      </c>
      <c r="G325" s="11" t="str">
        <f>_xlfn.XLOOKUP(M325,'Code Catagories'!A:A,'Code Catagories'!C:C)</f>
        <v>4C. Commercial Model</v>
      </c>
      <c r="H325" s="1" t="s">
        <v>134</v>
      </c>
      <c r="I325" s="1" t="s">
        <v>321</v>
      </c>
      <c r="J325" s="1" t="s">
        <v>203</v>
      </c>
      <c r="K325" s="1" t="s">
        <v>148</v>
      </c>
      <c r="L325" s="10" t="s">
        <v>751</v>
      </c>
      <c r="M325" s="11" t="str">
        <f t="shared" si="17"/>
        <v>4C</v>
      </c>
      <c r="N325" s="1" t="str">
        <f t="shared" si="18"/>
        <v>006Rg00000bO9eLIAS</v>
      </c>
    </row>
    <row r="326" spans="1:14" x14ac:dyDescent="0.4">
      <c r="A326" s="1">
        <v>5</v>
      </c>
      <c r="B326" s="1">
        <v>19</v>
      </c>
      <c r="C326" s="1" t="s">
        <v>752</v>
      </c>
      <c r="D326" s="1" t="s">
        <v>1</v>
      </c>
      <c r="E326" s="1" t="s">
        <v>134</v>
      </c>
      <c r="F326" s="1" t="s">
        <v>134</v>
      </c>
      <c r="G326" s="11" t="e">
        <f>_xlfn.XLOOKUP(M326,'Code Catagories'!A:A,'Code Catagories'!C:C)</f>
        <v>#N/A</v>
      </c>
      <c r="H326" s="1" t="s">
        <v>134</v>
      </c>
      <c r="I326" s="1" t="s">
        <v>134</v>
      </c>
      <c r="J326" s="1" t="s">
        <v>134</v>
      </c>
      <c r="K326" s="1" t="s">
        <v>134</v>
      </c>
      <c r="L326" s="10" t="s">
        <v>135</v>
      </c>
      <c r="M326" s="11" t="str">
        <f t="shared" si="17"/>
        <v>—</v>
      </c>
      <c r="N326" s="1" t="str">
        <f t="shared" si="18"/>
        <v>006Rg00000bOBcwIAG</v>
      </c>
    </row>
    <row r="327" spans="1:14" x14ac:dyDescent="0.4">
      <c r="A327" s="1">
        <v>5</v>
      </c>
      <c r="B327" s="1">
        <v>19</v>
      </c>
      <c r="C327" s="1" t="s">
        <v>753</v>
      </c>
      <c r="D327" s="1" t="s">
        <v>1</v>
      </c>
      <c r="E327" s="1" t="s">
        <v>754</v>
      </c>
      <c r="F327" s="1" t="s">
        <v>134</v>
      </c>
      <c r="G327" s="11" t="e">
        <f>_xlfn.XLOOKUP(M327,'Code Catagories'!A:A,'Code Catagories'!C:C)</f>
        <v>#N/A</v>
      </c>
      <c r="H327" s="1" t="s">
        <v>134</v>
      </c>
      <c r="I327" s="1" t="s">
        <v>134</v>
      </c>
      <c r="J327" s="1" t="s">
        <v>134</v>
      </c>
      <c r="K327" s="1" t="s">
        <v>134</v>
      </c>
      <c r="L327" s="10" t="s">
        <v>135</v>
      </c>
      <c r="M327" s="11" t="str">
        <f t="shared" si="17"/>
        <v>—</v>
      </c>
      <c r="N327" s="1" t="str">
        <f t="shared" si="18"/>
        <v>006Rg00000bObM8IAK</v>
      </c>
    </row>
    <row r="328" spans="1:14" x14ac:dyDescent="0.4">
      <c r="A328" s="1">
        <v>5</v>
      </c>
      <c r="B328" s="1">
        <v>19</v>
      </c>
      <c r="C328" s="1" t="s">
        <v>755</v>
      </c>
      <c r="D328" s="1" t="s">
        <v>2</v>
      </c>
      <c r="E328" s="1" t="s">
        <v>134</v>
      </c>
      <c r="F328" s="1" t="s">
        <v>134</v>
      </c>
      <c r="G328" s="11" t="e">
        <f>_xlfn.XLOOKUP(M328,'Code Catagories'!A:A,'Code Catagories'!C:C)</f>
        <v>#N/A</v>
      </c>
      <c r="H328" s="1" t="s">
        <v>134</v>
      </c>
      <c r="I328" s="1" t="s">
        <v>134</v>
      </c>
      <c r="J328" s="1" t="s">
        <v>134</v>
      </c>
      <c r="K328" s="1" t="s">
        <v>134</v>
      </c>
      <c r="L328" s="10" t="s">
        <v>135</v>
      </c>
      <c r="M328" s="11" t="str">
        <f t="shared" si="17"/>
        <v>—</v>
      </c>
      <c r="N328" s="1" t="str">
        <f t="shared" si="18"/>
        <v>006Rg00000bol6TIAQ</v>
      </c>
    </row>
    <row r="329" spans="1:14" ht="43.75" x14ac:dyDescent="0.4">
      <c r="A329" s="1">
        <v>5</v>
      </c>
      <c r="B329" s="1">
        <v>19</v>
      </c>
      <c r="C329" s="1" t="s">
        <v>756</v>
      </c>
      <c r="D329" s="1" t="s">
        <v>1</v>
      </c>
      <c r="E329" s="1" t="s">
        <v>445</v>
      </c>
      <c r="F329" s="1" t="s">
        <v>137</v>
      </c>
      <c r="G329" s="11" t="str">
        <f>_xlfn.XLOOKUP(M329,'Code Catagories'!A:A,'Code Catagories'!C:C)</f>
        <v>4B. Ancillary Fees</v>
      </c>
      <c r="H329" s="1" t="s">
        <v>134</v>
      </c>
      <c r="I329" s="1" t="s">
        <v>207</v>
      </c>
      <c r="J329" s="1" t="s">
        <v>203</v>
      </c>
      <c r="K329" s="1" t="s">
        <v>148</v>
      </c>
      <c r="L329" s="10" t="s">
        <v>757</v>
      </c>
      <c r="M329" s="11" t="str">
        <f t="shared" si="17"/>
        <v>4B</v>
      </c>
      <c r="N329" s="1" t="str">
        <f t="shared" si="18"/>
        <v>006Rg00000bOQTuIAO</v>
      </c>
    </row>
    <row r="330" spans="1:14" x14ac:dyDescent="0.4">
      <c r="A330" s="1">
        <v>5</v>
      </c>
      <c r="B330" s="1">
        <v>19</v>
      </c>
      <c r="C330" s="1" t="s">
        <v>758</v>
      </c>
      <c r="D330" s="1" t="s">
        <v>1</v>
      </c>
      <c r="E330" s="1" t="s">
        <v>759</v>
      </c>
      <c r="F330" s="1" t="s">
        <v>134</v>
      </c>
      <c r="G330" s="11" t="e">
        <f>_xlfn.XLOOKUP(M330,'Code Catagories'!A:A,'Code Catagories'!C:C)</f>
        <v>#N/A</v>
      </c>
      <c r="H330" s="1" t="s">
        <v>134</v>
      </c>
      <c r="I330" s="1" t="s">
        <v>134</v>
      </c>
      <c r="J330" s="1" t="s">
        <v>134</v>
      </c>
      <c r="K330" s="1" t="s">
        <v>134</v>
      </c>
      <c r="L330" s="10" t="s">
        <v>135</v>
      </c>
      <c r="M330" s="11" t="str">
        <f t="shared" si="17"/>
        <v>—</v>
      </c>
      <c r="N330" s="1" t="str">
        <f t="shared" si="18"/>
        <v>006Rg00000boSiAIAU</v>
      </c>
    </row>
    <row r="331" spans="1:14" x14ac:dyDescent="0.4">
      <c r="A331" s="1">
        <v>5</v>
      </c>
      <c r="B331" s="1">
        <v>19</v>
      </c>
      <c r="C331" s="1" t="s">
        <v>760</v>
      </c>
      <c r="D331" s="1" t="s">
        <v>1</v>
      </c>
      <c r="E331" s="1" t="s">
        <v>134</v>
      </c>
      <c r="F331" s="1" t="s">
        <v>134</v>
      </c>
      <c r="G331" s="11" t="e">
        <f>_xlfn.XLOOKUP(M331,'Code Catagories'!A:A,'Code Catagories'!C:C)</f>
        <v>#N/A</v>
      </c>
      <c r="H331" s="1" t="s">
        <v>134</v>
      </c>
      <c r="I331" s="1" t="s">
        <v>134</v>
      </c>
      <c r="J331" s="1" t="s">
        <v>134</v>
      </c>
      <c r="K331" s="1" t="s">
        <v>134</v>
      </c>
      <c r="L331" s="10" t="s">
        <v>135</v>
      </c>
      <c r="M331" s="11" t="str">
        <f t="shared" si="17"/>
        <v>—</v>
      </c>
      <c r="N331" s="1" t="str">
        <f t="shared" si="18"/>
        <v>006Rg00000bOSlrIAG</v>
      </c>
    </row>
    <row r="332" spans="1:14" x14ac:dyDescent="0.4">
      <c r="A332" s="1">
        <v>5</v>
      </c>
      <c r="B332" s="1">
        <v>19</v>
      </c>
      <c r="C332" s="1" t="s">
        <v>761</v>
      </c>
      <c r="D332" s="1" t="s">
        <v>1</v>
      </c>
      <c r="E332" s="1" t="s">
        <v>759</v>
      </c>
      <c r="F332" s="1" t="s">
        <v>134</v>
      </c>
      <c r="G332" s="11" t="e">
        <f>_xlfn.XLOOKUP(M332,'Code Catagories'!A:A,'Code Catagories'!C:C)</f>
        <v>#N/A</v>
      </c>
      <c r="H332" s="1" t="s">
        <v>134</v>
      </c>
      <c r="I332" s="1" t="s">
        <v>134</v>
      </c>
      <c r="J332" s="1" t="s">
        <v>134</v>
      </c>
      <c r="K332" s="1" t="s">
        <v>134</v>
      </c>
      <c r="L332" s="10" t="s">
        <v>135</v>
      </c>
      <c r="M332" s="11" t="str">
        <f t="shared" si="17"/>
        <v>—</v>
      </c>
      <c r="N332" s="1" t="str">
        <f t="shared" si="18"/>
        <v>006Rg00000botNNIAY</v>
      </c>
    </row>
    <row r="333" spans="1:14" ht="29.15" x14ac:dyDescent="0.4">
      <c r="A333" s="1">
        <v>5</v>
      </c>
      <c r="B333" s="1">
        <v>20</v>
      </c>
      <c r="C333" s="1" t="s">
        <v>762</v>
      </c>
      <c r="D333" s="1" t="s">
        <v>1</v>
      </c>
      <c r="E333" s="1" t="s">
        <v>763</v>
      </c>
      <c r="F333" s="1" t="s">
        <v>145</v>
      </c>
      <c r="G333" s="11" t="str">
        <f>_xlfn.XLOOKUP(M333,'Code Catagories'!A:A,'Code Catagories'!C:C)</f>
        <v>4A. Rate Uncompetitive</v>
      </c>
      <c r="H333" s="1" t="s">
        <v>134</v>
      </c>
      <c r="I333" s="1" t="s">
        <v>241</v>
      </c>
      <c r="J333" s="1" t="s">
        <v>203</v>
      </c>
      <c r="K333" s="1" t="s">
        <v>141</v>
      </c>
      <c r="L333" s="10" t="s">
        <v>764</v>
      </c>
      <c r="M333" s="11" t="str">
        <f t="shared" ref="M333:M347" si="19">TRIM(F333)</f>
        <v>4A</v>
      </c>
      <c r="N333" s="1" t="str">
        <f t="shared" ref="N333:N347" si="20">TRIM(C333)</f>
        <v>006Rg00000bOtZ7IAK</v>
      </c>
    </row>
    <row r="334" spans="1:14" x14ac:dyDescent="0.4">
      <c r="A334" s="1">
        <v>5</v>
      </c>
      <c r="B334" s="1">
        <v>20</v>
      </c>
      <c r="C334" s="1" t="s">
        <v>765</v>
      </c>
      <c r="D334" s="1" t="s">
        <v>1</v>
      </c>
      <c r="E334" s="1" t="s">
        <v>598</v>
      </c>
      <c r="F334" s="1" t="s">
        <v>134</v>
      </c>
      <c r="G334" s="11" t="e">
        <f>_xlfn.XLOOKUP(M334,'Code Catagories'!A:A,'Code Catagories'!C:C)</f>
        <v>#N/A</v>
      </c>
      <c r="H334" s="1" t="s">
        <v>134</v>
      </c>
      <c r="I334" s="1" t="s">
        <v>134</v>
      </c>
      <c r="J334" s="1" t="s">
        <v>134</v>
      </c>
      <c r="K334" s="1" t="s">
        <v>134</v>
      </c>
      <c r="L334" s="10" t="s">
        <v>135</v>
      </c>
      <c r="M334" s="11" t="str">
        <f t="shared" si="19"/>
        <v>—</v>
      </c>
      <c r="N334" s="1" t="str">
        <f t="shared" si="20"/>
        <v>006Rg00000bOv9VIAS</v>
      </c>
    </row>
    <row r="335" spans="1:14" ht="29.15" x14ac:dyDescent="0.4">
      <c r="A335" s="1">
        <v>5</v>
      </c>
      <c r="B335" s="1">
        <v>20</v>
      </c>
      <c r="C335" s="1" t="s">
        <v>766</v>
      </c>
      <c r="D335" s="1" t="s">
        <v>1</v>
      </c>
      <c r="E335" s="1" t="s">
        <v>767</v>
      </c>
      <c r="F335" s="1" t="s">
        <v>192</v>
      </c>
      <c r="G335" s="11" t="str">
        <f>_xlfn.XLOOKUP(M335,'Code Catagories'!A:A,'Code Catagories'!C:C)</f>
        <v>4D. Contract Mechanics</v>
      </c>
      <c r="H335" s="1" t="s">
        <v>134</v>
      </c>
      <c r="I335" s="1" t="s">
        <v>240</v>
      </c>
      <c r="J335" s="1" t="s">
        <v>224</v>
      </c>
      <c r="K335" s="1" t="s">
        <v>141</v>
      </c>
      <c r="L335" s="10" t="s">
        <v>768</v>
      </c>
      <c r="M335" s="11" t="str">
        <f t="shared" si="19"/>
        <v>4D</v>
      </c>
      <c r="N335" s="1" t="str">
        <f t="shared" si="20"/>
        <v>006Rg00000bowTJIAY</v>
      </c>
    </row>
    <row r="336" spans="1:14" ht="29.15" x14ac:dyDescent="0.4">
      <c r="A336" s="1">
        <v>5</v>
      </c>
      <c r="B336" s="1">
        <v>20</v>
      </c>
      <c r="C336" s="1" t="s">
        <v>769</v>
      </c>
      <c r="D336" s="1" t="s">
        <v>1</v>
      </c>
      <c r="E336" s="1" t="s">
        <v>770</v>
      </c>
      <c r="F336" s="1" t="s">
        <v>222</v>
      </c>
      <c r="G336" s="11" t="str">
        <f>_xlfn.XLOOKUP(M336,'Code Catagories'!A:A,'Code Catagories'!C:C)</f>
        <v>4C. Commercial Model</v>
      </c>
      <c r="H336" s="1" t="s">
        <v>134</v>
      </c>
      <c r="I336" s="1" t="s">
        <v>239</v>
      </c>
      <c r="J336" s="1" t="s">
        <v>203</v>
      </c>
      <c r="K336" s="1" t="s">
        <v>141</v>
      </c>
      <c r="L336" s="10" t="s">
        <v>771</v>
      </c>
      <c r="M336" s="11" t="str">
        <f t="shared" si="19"/>
        <v>4C</v>
      </c>
      <c r="N336" s="1" t="str">
        <f t="shared" si="20"/>
        <v>006Rg00000boZjdIAE</v>
      </c>
    </row>
    <row r="337" spans="1:14" x14ac:dyDescent="0.4">
      <c r="A337" s="1">
        <v>5</v>
      </c>
      <c r="B337" s="1">
        <v>20</v>
      </c>
      <c r="C337" s="1" t="s">
        <v>772</v>
      </c>
      <c r="D337" s="1" t="s">
        <v>2</v>
      </c>
      <c r="E337" s="1" t="s">
        <v>134</v>
      </c>
      <c r="F337" s="1" t="s">
        <v>134</v>
      </c>
      <c r="G337" s="11" t="e">
        <f>_xlfn.XLOOKUP(M337,'Code Catagories'!A:A,'Code Catagories'!C:C)</f>
        <v>#N/A</v>
      </c>
      <c r="H337" s="1" t="s">
        <v>134</v>
      </c>
      <c r="I337" s="1" t="s">
        <v>134</v>
      </c>
      <c r="J337" s="1" t="s">
        <v>134</v>
      </c>
      <c r="K337" s="1" t="s">
        <v>134</v>
      </c>
      <c r="L337" s="10" t="s">
        <v>135</v>
      </c>
      <c r="M337" s="11" t="str">
        <f t="shared" si="19"/>
        <v>—</v>
      </c>
      <c r="N337" s="1" t="str">
        <f t="shared" si="20"/>
        <v>006Rg00000bp2iRIAQ</v>
      </c>
    </row>
    <row r="338" spans="1:14" ht="29.15" x14ac:dyDescent="0.4">
      <c r="A338" s="1">
        <v>5</v>
      </c>
      <c r="B338" s="1">
        <v>20</v>
      </c>
      <c r="C338" s="1" t="s">
        <v>773</v>
      </c>
      <c r="D338" s="1" t="s">
        <v>2</v>
      </c>
      <c r="E338" s="1" t="s">
        <v>134</v>
      </c>
      <c r="F338" s="1" t="s">
        <v>222</v>
      </c>
      <c r="G338" s="11" t="str">
        <f>_xlfn.XLOOKUP(M338,'Code Catagories'!A:A,'Code Catagories'!C:C)</f>
        <v>4C. Commercial Model</v>
      </c>
      <c r="H338" s="1" t="s">
        <v>134</v>
      </c>
      <c r="I338" s="1" t="s">
        <v>774</v>
      </c>
      <c r="J338" s="1" t="s">
        <v>224</v>
      </c>
      <c r="K338" s="1" t="s">
        <v>141</v>
      </c>
      <c r="L338" s="10" t="s">
        <v>775</v>
      </c>
      <c r="M338" s="11" t="str">
        <f t="shared" si="19"/>
        <v>4C</v>
      </c>
      <c r="N338" s="1" t="str">
        <f t="shared" si="20"/>
        <v>006Rg00000bP6o8IAC</v>
      </c>
    </row>
    <row r="339" spans="1:14" ht="29.15" x14ac:dyDescent="0.4">
      <c r="A339" s="1">
        <v>5</v>
      </c>
      <c r="B339" s="1">
        <v>20</v>
      </c>
      <c r="C339" s="1" t="s">
        <v>776</v>
      </c>
      <c r="D339" s="1" t="s">
        <v>1</v>
      </c>
      <c r="E339" s="1" t="s">
        <v>777</v>
      </c>
      <c r="F339" s="1" t="s">
        <v>137</v>
      </c>
      <c r="G339" s="11" t="str">
        <f>_xlfn.XLOOKUP(M339,'Code Catagories'!A:A,'Code Catagories'!C:C)</f>
        <v>4B. Ancillary Fees</v>
      </c>
      <c r="H339" s="1" t="s">
        <v>138</v>
      </c>
      <c r="I339" s="1" t="s">
        <v>627</v>
      </c>
      <c r="J339" s="1" t="s">
        <v>140</v>
      </c>
      <c r="K339" s="1" t="s">
        <v>141</v>
      </c>
      <c r="L339" s="10" t="s">
        <v>778</v>
      </c>
      <c r="M339" s="11" t="str">
        <f t="shared" si="19"/>
        <v>4B</v>
      </c>
      <c r="N339" s="1" t="str">
        <f t="shared" si="20"/>
        <v>006Rg00000bpF7lIAE</v>
      </c>
    </row>
    <row r="340" spans="1:14" ht="29.15" x14ac:dyDescent="0.4">
      <c r="A340" s="1">
        <v>5</v>
      </c>
      <c r="B340" s="1">
        <v>20</v>
      </c>
      <c r="C340" s="1" t="s">
        <v>779</v>
      </c>
      <c r="D340" s="1" t="s">
        <v>1</v>
      </c>
      <c r="E340" s="1" t="s">
        <v>780</v>
      </c>
      <c r="F340" s="1" t="s">
        <v>145</v>
      </c>
      <c r="G340" s="11" t="str">
        <f>_xlfn.XLOOKUP(M340,'Code Catagories'!A:A,'Code Catagories'!C:C)</f>
        <v>4A. Rate Uncompetitive</v>
      </c>
      <c r="H340" s="1" t="s">
        <v>134</v>
      </c>
      <c r="I340" s="1" t="s">
        <v>366</v>
      </c>
      <c r="J340" s="1" t="s">
        <v>203</v>
      </c>
      <c r="K340" s="1" t="s">
        <v>141</v>
      </c>
      <c r="L340" s="10" t="s">
        <v>781</v>
      </c>
      <c r="M340" s="11" t="str">
        <f t="shared" si="19"/>
        <v>4A</v>
      </c>
      <c r="N340" s="1" t="str">
        <f t="shared" si="20"/>
        <v>006Rg00000bpJMfIAM</v>
      </c>
    </row>
    <row r="341" spans="1:14" ht="29.15" x14ac:dyDescent="0.4">
      <c r="A341" s="1">
        <v>5</v>
      </c>
      <c r="B341" s="1">
        <v>20</v>
      </c>
      <c r="C341" s="1" t="s">
        <v>779</v>
      </c>
      <c r="D341" s="1" t="s">
        <v>1</v>
      </c>
      <c r="E341" s="1" t="s">
        <v>780</v>
      </c>
      <c r="F341" s="1" t="s">
        <v>222</v>
      </c>
      <c r="G341" s="11" t="str">
        <f>_xlfn.XLOOKUP(M341,'Code Catagories'!A:A,'Code Catagories'!C:C)</f>
        <v>4C. Commercial Model</v>
      </c>
      <c r="H341" s="1" t="s">
        <v>134</v>
      </c>
      <c r="I341" s="1" t="s">
        <v>279</v>
      </c>
      <c r="J341" s="1" t="s">
        <v>203</v>
      </c>
      <c r="K341" s="1" t="s">
        <v>141</v>
      </c>
      <c r="L341" s="10" t="s">
        <v>782</v>
      </c>
      <c r="M341" s="11" t="str">
        <f t="shared" si="19"/>
        <v>4C</v>
      </c>
      <c r="N341" s="1" t="str">
        <f t="shared" si="20"/>
        <v>006Rg00000bpJMfIAM</v>
      </c>
    </row>
    <row r="342" spans="1:14" ht="29.15" x14ac:dyDescent="0.4">
      <c r="A342" s="1">
        <v>5</v>
      </c>
      <c r="B342" s="1">
        <v>20</v>
      </c>
      <c r="C342" s="1" t="s">
        <v>783</v>
      </c>
      <c r="D342" s="1" t="s">
        <v>1</v>
      </c>
      <c r="E342" s="1" t="s">
        <v>784</v>
      </c>
      <c r="F342" s="1" t="s">
        <v>137</v>
      </c>
      <c r="G342" s="11" t="str">
        <f>_xlfn.XLOOKUP(M342,'Code Catagories'!A:A,'Code Catagories'!C:C)</f>
        <v>4B. Ancillary Fees</v>
      </c>
      <c r="H342" s="1" t="s">
        <v>134</v>
      </c>
      <c r="I342" s="1" t="s">
        <v>232</v>
      </c>
      <c r="J342" s="1" t="s">
        <v>203</v>
      </c>
      <c r="K342" s="1" t="s">
        <v>141</v>
      </c>
      <c r="L342" s="10" t="s">
        <v>785</v>
      </c>
      <c r="M342" s="11" t="str">
        <f t="shared" si="19"/>
        <v>4B</v>
      </c>
      <c r="N342" s="1" t="str">
        <f t="shared" si="20"/>
        <v>006Rg00000bpLDBIA2</v>
      </c>
    </row>
    <row r="343" spans="1:14" ht="29.15" x14ac:dyDescent="0.4">
      <c r="A343" s="1">
        <v>5</v>
      </c>
      <c r="B343" s="1">
        <v>20</v>
      </c>
      <c r="C343" s="1" t="s">
        <v>786</v>
      </c>
      <c r="D343" s="1" t="s">
        <v>1</v>
      </c>
      <c r="E343" s="1" t="s">
        <v>622</v>
      </c>
      <c r="F343" s="1" t="s">
        <v>137</v>
      </c>
      <c r="G343" s="11" t="str">
        <f>_xlfn.XLOOKUP(M343,'Code Catagories'!A:A,'Code Catagories'!C:C)</f>
        <v>4B. Ancillary Fees</v>
      </c>
      <c r="H343" s="1" t="s">
        <v>134</v>
      </c>
      <c r="I343" s="1" t="s">
        <v>232</v>
      </c>
      <c r="J343" s="1" t="s">
        <v>140</v>
      </c>
      <c r="K343" s="1" t="s">
        <v>141</v>
      </c>
      <c r="L343" s="10" t="s">
        <v>787</v>
      </c>
      <c r="M343" s="11" t="str">
        <f t="shared" si="19"/>
        <v>4B</v>
      </c>
      <c r="N343" s="1" t="str">
        <f t="shared" si="20"/>
        <v>006Rg00000bpU5BIAU</v>
      </c>
    </row>
    <row r="344" spans="1:14" x14ac:dyDescent="0.4">
      <c r="A344" s="1">
        <v>5</v>
      </c>
      <c r="B344" s="1">
        <v>20</v>
      </c>
      <c r="C344" s="1" t="s">
        <v>788</v>
      </c>
      <c r="D344" s="1" t="s">
        <v>2</v>
      </c>
      <c r="E344" s="1" t="s">
        <v>134</v>
      </c>
      <c r="F344" s="1" t="s">
        <v>134</v>
      </c>
      <c r="G344" s="11" t="e">
        <f>_xlfn.XLOOKUP(M344,'Code Catagories'!A:A,'Code Catagories'!C:C)</f>
        <v>#N/A</v>
      </c>
      <c r="H344" s="1" t="s">
        <v>134</v>
      </c>
      <c r="I344" s="1" t="s">
        <v>134</v>
      </c>
      <c r="J344" s="1" t="s">
        <v>134</v>
      </c>
      <c r="K344" s="1" t="s">
        <v>134</v>
      </c>
      <c r="L344" s="10" t="s">
        <v>135</v>
      </c>
      <c r="M344" s="11" t="str">
        <f t="shared" si="19"/>
        <v>—</v>
      </c>
      <c r="N344" s="1" t="str">
        <f t="shared" si="20"/>
        <v>006Rg00000bpY7CIAU</v>
      </c>
    </row>
    <row r="345" spans="1:14" ht="29.15" x14ac:dyDescent="0.4">
      <c r="A345" s="1">
        <v>5</v>
      </c>
      <c r="B345" s="1">
        <v>20</v>
      </c>
      <c r="C345" s="1" t="s">
        <v>789</v>
      </c>
      <c r="D345" s="1" t="s">
        <v>1</v>
      </c>
      <c r="E345" s="1" t="s">
        <v>790</v>
      </c>
      <c r="F345" s="1" t="s">
        <v>222</v>
      </c>
      <c r="G345" s="11" t="str">
        <f>_xlfn.XLOOKUP(M345,'Code Catagories'!A:A,'Code Catagories'!C:C)</f>
        <v>4C. Commercial Model</v>
      </c>
      <c r="H345" s="1" t="s">
        <v>134</v>
      </c>
      <c r="I345" s="1" t="s">
        <v>279</v>
      </c>
      <c r="J345" s="1" t="s">
        <v>203</v>
      </c>
      <c r="K345" s="1" t="s">
        <v>141</v>
      </c>
      <c r="L345" s="10" t="s">
        <v>791</v>
      </c>
      <c r="M345" s="11" t="str">
        <f t="shared" si="19"/>
        <v>4C</v>
      </c>
      <c r="N345" s="1" t="str">
        <f t="shared" si="20"/>
        <v>006Rg00000bq1SYIAY</v>
      </c>
    </row>
    <row r="346" spans="1:14" x14ac:dyDescent="0.4">
      <c r="A346" s="1">
        <v>5</v>
      </c>
      <c r="B346" s="1">
        <v>20</v>
      </c>
      <c r="C346" s="1" t="s">
        <v>792</v>
      </c>
      <c r="D346" s="1" t="s">
        <v>1</v>
      </c>
      <c r="E346" s="1" t="s">
        <v>134</v>
      </c>
      <c r="F346" s="1" t="s">
        <v>134</v>
      </c>
      <c r="G346" s="11" t="e">
        <f>_xlfn.XLOOKUP(M346,'Code Catagories'!A:A,'Code Catagories'!C:C)</f>
        <v>#N/A</v>
      </c>
      <c r="H346" s="1" t="s">
        <v>134</v>
      </c>
      <c r="I346" s="1" t="s">
        <v>134</v>
      </c>
      <c r="J346" s="1" t="s">
        <v>134</v>
      </c>
      <c r="K346" s="1" t="s">
        <v>134</v>
      </c>
      <c r="L346" s="10" t="s">
        <v>135</v>
      </c>
      <c r="M346" s="11" t="str">
        <f t="shared" si="19"/>
        <v>—</v>
      </c>
      <c r="N346" s="1" t="str">
        <f t="shared" si="20"/>
        <v>006Rg00000bQcp9IAC</v>
      </c>
    </row>
    <row r="347" spans="1:14" x14ac:dyDescent="0.4">
      <c r="A347" s="1">
        <v>5</v>
      </c>
      <c r="B347" s="1">
        <v>20</v>
      </c>
      <c r="C347" s="1" t="s">
        <v>793</v>
      </c>
      <c r="D347" s="1" t="s">
        <v>2</v>
      </c>
      <c r="E347" s="1" t="s">
        <v>134</v>
      </c>
      <c r="F347" s="1" t="s">
        <v>134</v>
      </c>
      <c r="G347" s="11" t="e">
        <f>_xlfn.XLOOKUP(M347,'Code Catagories'!A:A,'Code Catagories'!C:C)</f>
        <v>#N/A</v>
      </c>
      <c r="H347" s="1" t="s">
        <v>134</v>
      </c>
      <c r="I347" s="1" t="s">
        <v>134</v>
      </c>
      <c r="J347" s="1" t="s">
        <v>134</v>
      </c>
      <c r="K347" s="1" t="s">
        <v>134</v>
      </c>
      <c r="L347" s="10" t="s">
        <v>135</v>
      </c>
      <c r="M347" s="11" t="str">
        <f t="shared" si="19"/>
        <v>—</v>
      </c>
      <c r="N347" s="1" t="str">
        <f t="shared" si="20"/>
        <v>006Rg00000bQcSYIA0</v>
      </c>
    </row>
    <row r="348" spans="1:14" ht="43.75" x14ac:dyDescent="0.4">
      <c r="A348" s="1">
        <v>5</v>
      </c>
      <c r="B348" s="1">
        <v>20</v>
      </c>
      <c r="C348" s="1" t="s">
        <v>794</v>
      </c>
      <c r="D348" s="1" t="s">
        <v>2</v>
      </c>
      <c r="E348" s="1" t="s">
        <v>770</v>
      </c>
      <c r="F348" s="1" t="s">
        <v>166</v>
      </c>
      <c r="G348" s="11" t="str">
        <f>_xlfn.XLOOKUP(M348,'Code Catagories'!A:A,'Code Catagories'!C:C)</f>
        <v>4F. Promotion Ineligibility</v>
      </c>
      <c r="H348" s="1" t="s">
        <v>134</v>
      </c>
      <c r="I348" s="1" t="s">
        <v>366</v>
      </c>
      <c r="J348" s="1" t="s">
        <v>203</v>
      </c>
      <c r="K348" s="1" t="s">
        <v>141</v>
      </c>
      <c r="L348" s="10" t="s">
        <v>795</v>
      </c>
      <c r="M348" s="11" t="str">
        <f t="shared" ref="M348:M366" si="21">TRIM(F348)</f>
        <v>4F</v>
      </c>
      <c r="N348" s="1" t="str">
        <f t="shared" ref="N348:N366" si="22">TRIM(C348)</f>
        <v>006Rg00000bruupIAA</v>
      </c>
    </row>
    <row r="349" spans="1:14" x14ac:dyDescent="0.4">
      <c r="A349" s="1">
        <v>5</v>
      </c>
      <c r="B349" s="1">
        <v>21</v>
      </c>
      <c r="C349" s="1" t="s">
        <v>796</v>
      </c>
      <c r="D349" s="1" t="s">
        <v>1</v>
      </c>
      <c r="E349" s="1" t="s">
        <v>134</v>
      </c>
      <c r="F349" s="1" t="s">
        <v>134</v>
      </c>
      <c r="G349" s="11" t="e">
        <f>_xlfn.XLOOKUP(M349,'Code Catagories'!A:A,'Code Catagories'!C:C)</f>
        <v>#N/A</v>
      </c>
      <c r="H349" s="1" t="s">
        <v>134</v>
      </c>
      <c r="I349" s="1" t="s">
        <v>134</v>
      </c>
      <c r="J349" s="1" t="s">
        <v>134</v>
      </c>
      <c r="K349" s="1" t="s">
        <v>134</v>
      </c>
      <c r="L349" s="10" t="s">
        <v>135</v>
      </c>
      <c r="M349" s="11" t="str">
        <f t="shared" si="21"/>
        <v>—</v>
      </c>
      <c r="N349" s="1" t="str">
        <f t="shared" si="22"/>
        <v>006Rg00000brvR4IAI</v>
      </c>
    </row>
    <row r="350" spans="1:14" x14ac:dyDescent="0.4">
      <c r="A350" s="1">
        <v>5</v>
      </c>
      <c r="B350" s="1">
        <v>21</v>
      </c>
      <c r="C350" s="1" t="s">
        <v>797</v>
      </c>
      <c r="D350" s="1" t="s">
        <v>1</v>
      </c>
      <c r="E350" s="1" t="s">
        <v>134</v>
      </c>
      <c r="F350" s="1" t="s">
        <v>134</v>
      </c>
      <c r="G350" s="11" t="e">
        <f>_xlfn.XLOOKUP(M350,'Code Catagories'!A:A,'Code Catagories'!C:C)</f>
        <v>#N/A</v>
      </c>
      <c r="H350" s="1" t="s">
        <v>134</v>
      </c>
      <c r="I350" s="1" t="s">
        <v>134</v>
      </c>
      <c r="J350" s="1" t="s">
        <v>134</v>
      </c>
      <c r="K350" s="1" t="s">
        <v>134</v>
      </c>
      <c r="L350" s="10" t="s">
        <v>135</v>
      </c>
      <c r="M350" s="11" t="str">
        <f t="shared" si="21"/>
        <v>—</v>
      </c>
      <c r="N350" s="1" t="str">
        <f t="shared" si="22"/>
        <v>006Rg00000brvVuIAI</v>
      </c>
    </row>
    <row r="351" spans="1:14" ht="29.15" x14ac:dyDescent="0.4">
      <c r="A351" s="1">
        <v>5</v>
      </c>
      <c r="B351" s="1">
        <v>21</v>
      </c>
      <c r="C351" s="1" t="s">
        <v>798</v>
      </c>
      <c r="D351" s="1" t="s">
        <v>2</v>
      </c>
      <c r="E351" s="1" t="s">
        <v>799</v>
      </c>
      <c r="F351" s="1" t="s">
        <v>145</v>
      </c>
      <c r="G351" s="11" t="str">
        <f>_xlfn.XLOOKUP(M351,'Code Catagories'!A:A,'Code Catagories'!C:C)</f>
        <v>4A. Rate Uncompetitive</v>
      </c>
      <c r="H351" s="1" t="s">
        <v>138</v>
      </c>
      <c r="I351" s="1" t="s">
        <v>800</v>
      </c>
      <c r="J351" s="1" t="s">
        <v>140</v>
      </c>
      <c r="K351" s="1" t="s">
        <v>148</v>
      </c>
      <c r="L351" s="10" t="s">
        <v>801</v>
      </c>
      <c r="M351" s="11" t="str">
        <f t="shared" si="21"/>
        <v>4A</v>
      </c>
      <c r="N351" s="1" t="str">
        <f t="shared" si="22"/>
        <v>006Rg00000brxmFIAQ</v>
      </c>
    </row>
    <row r="352" spans="1:14" ht="29.15" x14ac:dyDescent="0.4">
      <c r="A352" s="1">
        <v>5</v>
      </c>
      <c r="B352" s="1">
        <v>21</v>
      </c>
      <c r="C352" s="1" t="s">
        <v>798</v>
      </c>
      <c r="D352" s="1" t="s">
        <v>2</v>
      </c>
      <c r="E352" s="1" t="s">
        <v>799</v>
      </c>
      <c r="F352" s="1" t="s">
        <v>137</v>
      </c>
      <c r="G352" s="11" t="str">
        <f>_xlfn.XLOOKUP(M352,'Code Catagories'!A:A,'Code Catagories'!C:C)</f>
        <v>4B. Ancillary Fees</v>
      </c>
      <c r="H352" s="1" t="s">
        <v>134</v>
      </c>
      <c r="I352" s="1" t="s">
        <v>207</v>
      </c>
      <c r="J352" s="1" t="s">
        <v>140</v>
      </c>
      <c r="K352" s="1" t="s">
        <v>141</v>
      </c>
      <c r="L352" s="10" t="s">
        <v>802</v>
      </c>
      <c r="M352" s="11" t="str">
        <f t="shared" si="21"/>
        <v>4B</v>
      </c>
      <c r="N352" s="1" t="str">
        <f t="shared" si="22"/>
        <v>006Rg00000brxmFIAQ</v>
      </c>
    </row>
    <row r="353" spans="1:14" ht="29.15" x14ac:dyDescent="0.4">
      <c r="A353" s="1">
        <v>5</v>
      </c>
      <c r="B353" s="1">
        <v>21</v>
      </c>
      <c r="C353" s="1" t="s">
        <v>803</v>
      </c>
      <c r="D353" s="1" t="s">
        <v>1</v>
      </c>
      <c r="E353" s="1" t="s">
        <v>804</v>
      </c>
      <c r="F353" s="1" t="s">
        <v>222</v>
      </c>
      <c r="G353" s="11" t="str">
        <f>_xlfn.XLOOKUP(M353,'Code Catagories'!A:A,'Code Catagories'!C:C)</f>
        <v>4C. Commercial Model</v>
      </c>
      <c r="H353" s="1" t="s">
        <v>134</v>
      </c>
      <c r="I353" s="1" t="s">
        <v>279</v>
      </c>
      <c r="J353" s="1" t="s">
        <v>203</v>
      </c>
      <c r="K353" s="1" t="s">
        <v>141</v>
      </c>
      <c r="L353" s="10" t="s">
        <v>805</v>
      </c>
      <c r="M353" s="11" t="str">
        <f t="shared" si="21"/>
        <v>4C</v>
      </c>
      <c r="N353" s="1" t="str">
        <f t="shared" si="22"/>
        <v>006Rg00000bs0KJIAY</v>
      </c>
    </row>
    <row r="354" spans="1:14" x14ac:dyDescent="0.4">
      <c r="A354" s="1">
        <v>5</v>
      </c>
      <c r="B354" s="1">
        <v>21</v>
      </c>
      <c r="C354" s="1" t="s">
        <v>806</v>
      </c>
      <c r="D354" s="1" t="s">
        <v>2</v>
      </c>
      <c r="E354" s="1" t="s">
        <v>134</v>
      </c>
      <c r="F354" s="1" t="s">
        <v>134</v>
      </c>
      <c r="G354" s="11" t="e">
        <f>_xlfn.XLOOKUP(M354,'Code Catagories'!A:A,'Code Catagories'!C:C)</f>
        <v>#N/A</v>
      </c>
      <c r="H354" s="1" t="s">
        <v>134</v>
      </c>
      <c r="I354" s="1" t="s">
        <v>134</v>
      </c>
      <c r="J354" s="1" t="s">
        <v>134</v>
      </c>
      <c r="K354" s="1" t="s">
        <v>134</v>
      </c>
      <c r="L354" s="10" t="s">
        <v>135</v>
      </c>
      <c r="M354" s="11" t="str">
        <f t="shared" si="21"/>
        <v>—</v>
      </c>
      <c r="N354" s="1" t="str">
        <f t="shared" si="22"/>
        <v>006Rg00000bsbIDIAY</v>
      </c>
    </row>
    <row r="355" spans="1:14" x14ac:dyDescent="0.4">
      <c r="A355" s="1">
        <v>5</v>
      </c>
      <c r="B355" s="1">
        <v>21</v>
      </c>
      <c r="C355" s="1" t="s">
        <v>807</v>
      </c>
      <c r="D355" s="1" t="s">
        <v>2</v>
      </c>
      <c r="E355" s="1" t="s">
        <v>134</v>
      </c>
      <c r="F355" s="1" t="s">
        <v>134</v>
      </c>
      <c r="G355" s="11" t="e">
        <f>_xlfn.XLOOKUP(M355,'Code Catagories'!A:A,'Code Catagories'!C:C)</f>
        <v>#N/A</v>
      </c>
      <c r="H355" s="1" t="s">
        <v>134</v>
      </c>
      <c r="I355" s="1" t="s">
        <v>134</v>
      </c>
      <c r="J355" s="1" t="s">
        <v>134</v>
      </c>
      <c r="K355" s="1" t="s">
        <v>134</v>
      </c>
      <c r="L355" s="10" t="s">
        <v>135</v>
      </c>
      <c r="M355" s="11" t="str">
        <f t="shared" si="21"/>
        <v>—</v>
      </c>
      <c r="N355" s="1" t="str">
        <f t="shared" si="22"/>
        <v>006Rg00000bsfqUIAQ</v>
      </c>
    </row>
    <row r="356" spans="1:14" ht="29.15" x14ac:dyDescent="0.4">
      <c r="A356" s="1">
        <v>5</v>
      </c>
      <c r="B356" s="1">
        <v>21</v>
      </c>
      <c r="C356" s="1" t="s">
        <v>808</v>
      </c>
      <c r="D356" s="1" t="s">
        <v>2</v>
      </c>
      <c r="E356" s="1" t="s">
        <v>809</v>
      </c>
      <c r="F356" s="1" t="s">
        <v>166</v>
      </c>
      <c r="G356" s="11" t="str">
        <f>_xlfn.XLOOKUP(M356,'Code Catagories'!A:A,'Code Catagories'!C:C)</f>
        <v>4F. Promotion Ineligibility</v>
      </c>
      <c r="H356" s="1" t="s">
        <v>138</v>
      </c>
      <c r="I356" s="1" t="s">
        <v>167</v>
      </c>
      <c r="J356" s="1" t="s">
        <v>140</v>
      </c>
      <c r="K356" s="1" t="s">
        <v>141</v>
      </c>
      <c r="L356" s="10" t="s">
        <v>810</v>
      </c>
      <c r="M356" s="11" t="str">
        <f t="shared" si="21"/>
        <v>4F</v>
      </c>
      <c r="N356" s="1" t="str">
        <f t="shared" si="22"/>
        <v>006Rg00000bsjVtIAI</v>
      </c>
    </row>
    <row r="357" spans="1:14" x14ac:dyDescent="0.4">
      <c r="A357" s="1">
        <v>5</v>
      </c>
      <c r="B357" s="1">
        <v>21</v>
      </c>
      <c r="C357" s="1" t="s">
        <v>811</v>
      </c>
      <c r="D357" s="1" t="s">
        <v>1</v>
      </c>
      <c r="E357" s="1" t="s">
        <v>134</v>
      </c>
      <c r="F357" s="1" t="s">
        <v>134</v>
      </c>
      <c r="G357" s="11" t="e">
        <f>_xlfn.XLOOKUP(M357,'Code Catagories'!A:A,'Code Catagories'!C:C)</f>
        <v>#N/A</v>
      </c>
      <c r="H357" s="1" t="s">
        <v>134</v>
      </c>
      <c r="I357" s="1" t="s">
        <v>134</v>
      </c>
      <c r="J357" s="1" t="s">
        <v>134</v>
      </c>
      <c r="K357" s="1" t="s">
        <v>134</v>
      </c>
      <c r="L357" s="10" t="s">
        <v>135</v>
      </c>
      <c r="M357" s="11" t="str">
        <f t="shared" si="21"/>
        <v>—</v>
      </c>
      <c r="N357" s="1" t="str">
        <f t="shared" si="22"/>
        <v>006Rg00000bsP5mIAE</v>
      </c>
    </row>
    <row r="358" spans="1:14" x14ac:dyDescent="0.4">
      <c r="A358" s="1">
        <v>5</v>
      </c>
      <c r="B358" s="1">
        <v>21</v>
      </c>
      <c r="C358" s="1" t="s">
        <v>812</v>
      </c>
      <c r="D358" s="1" t="s">
        <v>1</v>
      </c>
      <c r="E358" s="1" t="s">
        <v>134</v>
      </c>
      <c r="F358" s="1" t="s">
        <v>134</v>
      </c>
      <c r="G358" s="11" t="e">
        <f>_xlfn.XLOOKUP(M358,'Code Catagories'!A:A,'Code Catagories'!C:C)</f>
        <v>#N/A</v>
      </c>
      <c r="H358" s="1" t="s">
        <v>134</v>
      </c>
      <c r="I358" s="1" t="s">
        <v>134</v>
      </c>
      <c r="J358" s="1" t="s">
        <v>134</v>
      </c>
      <c r="K358" s="1" t="s">
        <v>134</v>
      </c>
      <c r="L358" s="10" t="s">
        <v>135</v>
      </c>
      <c r="M358" s="11" t="str">
        <f t="shared" si="21"/>
        <v>—</v>
      </c>
      <c r="N358" s="1" t="str">
        <f t="shared" si="22"/>
        <v>006Rg00000bt4VeIAI</v>
      </c>
    </row>
    <row r="359" spans="1:14" ht="29.15" x14ac:dyDescent="0.4">
      <c r="A359" s="1">
        <v>5</v>
      </c>
      <c r="B359" s="1">
        <v>21</v>
      </c>
      <c r="C359" s="1" t="s">
        <v>813</v>
      </c>
      <c r="D359" s="1" t="s">
        <v>1</v>
      </c>
      <c r="E359" s="1" t="s">
        <v>814</v>
      </c>
      <c r="F359" s="1" t="s">
        <v>192</v>
      </c>
      <c r="G359" s="11" t="str">
        <f>_xlfn.XLOOKUP(M359,'Code Catagories'!A:A,'Code Catagories'!C:C)</f>
        <v>4D. Contract Mechanics</v>
      </c>
      <c r="H359" s="1" t="s">
        <v>138</v>
      </c>
      <c r="I359" s="1" t="s">
        <v>240</v>
      </c>
      <c r="J359" s="1" t="s">
        <v>147</v>
      </c>
      <c r="K359" s="1" t="s">
        <v>148</v>
      </c>
      <c r="L359" s="10" t="s">
        <v>815</v>
      </c>
      <c r="M359" s="11" t="str">
        <f t="shared" si="21"/>
        <v>4D</v>
      </c>
      <c r="N359" s="1" t="str">
        <f t="shared" si="22"/>
        <v>006Rg00000bTK68IAG</v>
      </c>
    </row>
    <row r="360" spans="1:14" x14ac:dyDescent="0.4">
      <c r="A360" s="1">
        <v>5</v>
      </c>
      <c r="B360" s="1">
        <v>21</v>
      </c>
      <c r="C360" s="1" t="s">
        <v>816</v>
      </c>
      <c r="D360" s="1" t="s">
        <v>1</v>
      </c>
      <c r="E360" s="1" t="s">
        <v>817</v>
      </c>
      <c r="F360" s="1" t="s">
        <v>134</v>
      </c>
      <c r="G360" s="11" t="e">
        <f>_xlfn.XLOOKUP(M360,'Code Catagories'!A:A,'Code Catagories'!C:C)</f>
        <v>#N/A</v>
      </c>
      <c r="H360" s="1" t="s">
        <v>134</v>
      </c>
      <c r="I360" s="1" t="s">
        <v>134</v>
      </c>
      <c r="J360" s="1" t="s">
        <v>134</v>
      </c>
      <c r="K360" s="1" t="s">
        <v>134</v>
      </c>
      <c r="L360" s="10" t="s">
        <v>135</v>
      </c>
      <c r="M360" s="11" t="str">
        <f t="shared" si="21"/>
        <v>—</v>
      </c>
      <c r="N360" s="1" t="str">
        <f t="shared" si="22"/>
        <v>006Rg00000bTLAEIA4</v>
      </c>
    </row>
    <row r="361" spans="1:14" x14ac:dyDescent="0.4">
      <c r="A361" s="1">
        <v>5</v>
      </c>
      <c r="B361" s="1">
        <v>21</v>
      </c>
      <c r="C361" s="1" t="s">
        <v>818</v>
      </c>
      <c r="D361" s="1" t="s">
        <v>1</v>
      </c>
      <c r="E361" s="1" t="s">
        <v>134</v>
      </c>
      <c r="F361" s="1" t="s">
        <v>134</v>
      </c>
      <c r="G361" s="11" t="e">
        <f>_xlfn.XLOOKUP(M361,'Code Catagories'!A:A,'Code Catagories'!C:C)</f>
        <v>#N/A</v>
      </c>
      <c r="H361" s="1" t="s">
        <v>134</v>
      </c>
      <c r="I361" s="1" t="s">
        <v>134</v>
      </c>
      <c r="J361" s="1" t="s">
        <v>134</v>
      </c>
      <c r="K361" s="1" t="s">
        <v>134</v>
      </c>
      <c r="L361" s="10" t="s">
        <v>135</v>
      </c>
      <c r="M361" s="11" t="str">
        <f t="shared" si="21"/>
        <v>—</v>
      </c>
      <c r="N361" s="1" t="str">
        <f t="shared" si="22"/>
        <v>006Rg00000bTOXuIAO</v>
      </c>
    </row>
    <row r="362" spans="1:14" x14ac:dyDescent="0.4">
      <c r="A362" s="1">
        <v>5</v>
      </c>
      <c r="B362" s="1">
        <v>21</v>
      </c>
      <c r="C362" s="1" t="s">
        <v>819</v>
      </c>
      <c r="D362" s="1" t="s">
        <v>2</v>
      </c>
      <c r="E362" s="1" t="s">
        <v>820</v>
      </c>
      <c r="F362" s="1" t="s">
        <v>134</v>
      </c>
      <c r="G362" s="11" t="e">
        <f>_xlfn.XLOOKUP(M362,'Code Catagories'!A:A,'Code Catagories'!C:C)</f>
        <v>#N/A</v>
      </c>
      <c r="H362" s="1" t="s">
        <v>134</v>
      </c>
      <c r="I362" s="1" t="s">
        <v>134</v>
      </c>
      <c r="J362" s="1" t="s">
        <v>134</v>
      </c>
      <c r="K362" s="1" t="s">
        <v>134</v>
      </c>
      <c r="L362" s="10" t="s">
        <v>135</v>
      </c>
      <c r="M362" s="11" t="str">
        <f t="shared" si="21"/>
        <v>—</v>
      </c>
      <c r="N362" s="1" t="str">
        <f t="shared" si="22"/>
        <v>006Rg00000bTQZhIAO</v>
      </c>
    </row>
    <row r="363" spans="1:14" x14ac:dyDescent="0.4">
      <c r="A363" s="1">
        <v>5</v>
      </c>
      <c r="B363" s="1">
        <v>21</v>
      </c>
      <c r="C363" s="1" t="s">
        <v>821</v>
      </c>
      <c r="D363" s="1" t="s">
        <v>1</v>
      </c>
      <c r="E363" s="1" t="s">
        <v>134</v>
      </c>
      <c r="F363" s="1" t="s">
        <v>134</v>
      </c>
      <c r="G363" s="11" t="e">
        <f>_xlfn.XLOOKUP(M363,'Code Catagories'!A:A,'Code Catagories'!C:C)</f>
        <v>#N/A</v>
      </c>
      <c r="H363" s="1" t="s">
        <v>134</v>
      </c>
      <c r="I363" s="1" t="s">
        <v>134</v>
      </c>
      <c r="J363" s="1" t="s">
        <v>134</v>
      </c>
      <c r="K363" s="1" t="s">
        <v>134</v>
      </c>
      <c r="L363" s="10" t="s">
        <v>135</v>
      </c>
      <c r="M363" s="11" t="str">
        <f t="shared" si="21"/>
        <v>—</v>
      </c>
      <c r="N363" s="1" t="str">
        <f t="shared" si="22"/>
        <v>006Rg00000btTwvIAE</v>
      </c>
    </row>
    <row r="364" spans="1:14" x14ac:dyDescent="0.4">
      <c r="A364" s="1">
        <v>5</v>
      </c>
      <c r="B364" s="1">
        <v>21</v>
      </c>
      <c r="C364" s="1" t="s">
        <v>822</v>
      </c>
      <c r="D364" s="1" t="s">
        <v>1</v>
      </c>
      <c r="E364" s="1" t="s">
        <v>823</v>
      </c>
      <c r="F364" s="1" t="s">
        <v>134</v>
      </c>
      <c r="G364" s="11" t="e">
        <f>_xlfn.XLOOKUP(M364,'Code Catagories'!A:A,'Code Catagories'!C:C)</f>
        <v>#N/A</v>
      </c>
      <c r="H364" s="1" t="s">
        <v>134</v>
      </c>
      <c r="I364" s="1" t="s">
        <v>134</v>
      </c>
      <c r="J364" s="1" t="s">
        <v>134</v>
      </c>
      <c r="K364" s="1" t="s">
        <v>134</v>
      </c>
      <c r="L364" s="10" t="s">
        <v>135</v>
      </c>
      <c r="M364" s="11" t="str">
        <f t="shared" si="21"/>
        <v>—</v>
      </c>
      <c r="N364" s="1" t="str">
        <f t="shared" si="22"/>
        <v>006Rg00000bTUexIAG</v>
      </c>
    </row>
    <row r="365" spans="1:14" x14ac:dyDescent="0.4">
      <c r="A365" s="1">
        <v>5</v>
      </c>
      <c r="B365" s="1">
        <v>21</v>
      </c>
      <c r="C365" s="1" t="s">
        <v>824</v>
      </c>
      <c r="D365" s="1" t="s">
        <v>2</v>
      </c>
      <c r="E365" s="1" t="s">
        <v>723</v>
      </c>
      <c r="F365" s="1" t="s">
        <v>134</v>
      </c>
      <c r="G365" s="11" t="e">
        <f>_xlfn.XLOOKUP(M365,'Code Catagories'!A:A,'Code Catagories'!C:C)</f>
        <v>#N/A</v>
      </c>
      <c r="H365" s="1" t="s">
        <v>134</v>
      </c>
      <c r="I365" s="1" t="s">
        <v>134</v>
      </c>
      <c r="J365" s="1" t="s">
        <v>134</v>
      </c>
      <c r="K365" s="1" t="s">
        <v>134</v>
      </c>
      <c r="L365" s="10" t="s">
        <v>135</v>
      </c>
      <c r="M365" s="11" t="str">
        <f t="shared" si="21"/>
        <v>—</v>
      </c>
      <c r="N365" s="1" t="str">
        <f t="shared" si="22"/>
        <v>006Rg00000bTVUYIA4</v>
      </c>
    </row>
    <row r="366" spans="1:14" x14ac:dyDescent="0.4">
      <c r="A366" s="1">
        <v>5</v>
      </c>
      <c r="B366" s="1">
        <v>21</v>
      </c>
      <c r="C366" s="1" t="s">
        <v>825</v>
      </c>
      <c r="D366" s="1" t="s">
        <v>1</v>
      </c>
      <c r="E366" s="1" t="s">
        <v>826</v>
      </c>
      <c r="F366" s="1" t="s">
        <v>134</v>
      </c>
      <c r="G366" s="11" t="e">
        <f>_xlfn.XLOOKUP(M366,'Code Catagories'!A:A,'Code Catagories'!C:C)</f>
        <v>#N/A</v>
      </c>
      <c r="H366" s="1" t="s">
        <v>134</v>
      </c>
      <c r="I366" s="1" t="s">
        <v>134</v>
      </c>
      <c r="J366" s="1" t="s">
        <v>134</v>
      </c>
      <c r="K366" s="1" t="s">
        <v>134</v>
      </c>
      <c r="L366" s="10" t="s">
        <v>135</v>
      </c>
      <c r="M366" s="11" t="str">
        <f t="shared" si="21"/>
        <v>—</v>
      </c>
      <c r="N366" s="1" t="str">
        <f t="shared" si="22"/>
        <v>006Rg00000bTyUwIAK</v>
      </c>
    </row>
    <row r="367" spans="1:14" ht="29.15" x14ac:dyDescent="0.4">
      <c r="A367" s="1">
        <v>5</v>
      </c>
      <c r="B367" s="1">
        <v>22</v>
      </c>
      <c r="C367" s="1" t="s">
        <v>827</v>
      </c>
      <c r="D367" s="1" t="s">
        <v>2</v>
      </c>
      <c r="E367" s="1" t="s">
        <v>532</v>
      </c>
      <c r="F367" s="1" t="s">
        <v>145</v>
      </c>
      <c r="G367" s="11" t="str">
        <f>_xlfn.XLOOKUP(M367,'Code Catagories'!A:A,'Code Catagories'!C:C)</f>
        <v>4A. Rate Uncompetitive</v>
      </c>
      <c r="H367" s="1" t="s">
        <v>134</v>
      </c>
      <c r="I367" s="1" t="s">
        <v>241</v>
      </c>
      <c r="J367" s="1" t="s">
        <v>203</v>
      </c>
      <c r="K367" s="1" t="s">
        <v>141</v>
      </c>
      <c r="L367" s="10" t="s">
        <v>828</v>
      </c>
      <c r="M367" s="11" t="str">
        <f t="shared" ref="M367:M408" si="23">TRIM(F367)</f>
        <v>4A</v>
      </c>
      <c r="N367" s="1" t="str">
        <f t="shared" ref="N367:N393" si="24">TRIM(C367)</f>
        <v>006Rg00000btZvtIAE</v>
      </c>
    </row>
    <row r="368" spans="1:14" ht="29.15" x14ac:dyDescent="0.4">
      <c r="A368" s="1">
        <v>5</v>
      </c>
      <c r="B368" s="1">
        <v>22</v>
      </c>
      <c r="C368" s="1" t="s">
        <v>827</v>
      </c>
      <c r="D368" s="1" t="s">
        <v>2</v>
      </c>
      <c r="E368" s="1" t="s">
        <v>532</v>
      </c>
      <c r="F368" s="1" t="s">
        <v>137</v>
      </c>
      <c r="G368" s="11" t="str">
        <f>_xlfn.XLOOKUP(M368,'Code Catagories'!A:A,'Code Catagories'!C:C)</f>
        <v>4B. Ancillary Fees</v>
      </c>
      <c r="H368" s="1" t="s">
        <v>138</v>
      </c>
      <c r="I368" s="1" t="s">
        <v>139</v>
      </c>
      <c r="J368" s="1" t="s">
        <v>140</v>
      </c>
      <c r="K368" s="1" t="s">
        <v>148</v>
      </c>
      <c r="L368" s="10" t="s">
        <v>829</v>
      </c>
      <c r="M368" s="11" t="str">
        <f t="shared" si="23"/>
        <v>4B</v>
      </c>
      <c r="N368" s="1" t="str">
        <f t="shared" si="24"/>
        <v>006Rg00000btZvtIAE</v>
      </c>
    </row>
    <row r="369" spans="1:14" ht="29.15" x14ac:dyDescent="0.4">
      <c r="A369" s="1">
        <v>5</v>
      </c>
      <c r="B369" s="1">
        <v>22</v>
      </c>
      <c r="C369" s="1" t="s">
        <v>830</v>
      </c>
      <c r="D369" s="1" t="s">
        <v>2</v>
      </c>
      <c r="E369" s="1" t="s">
        <v>831</v>
      </c>
      <c r="F369" s="1" t="s">
        <v>137</v>
      </c>
      <c r="G369" s="11" t="str">
        <f>_xlfn.XLOOKUP(M369,'Code Catagories'!A:A,'Code Catagories'!C:C)</f>
        <v>4B. Ancillary Fees</v>
      </c>
      <c r="H369" s="1" t="s">
        <v>134</v>
      </c>
      <c r="I369" s="1" t="s">
        <v>459</v>
      </c>
      <c r="J369" s="1" t="s">
        <v>203</v>
      </c>
      <c r="K369" s="1" t="s">
        <v>141</v>
      </c>
      <c r="L369" s="10" t="s">
        <v>832</v>
      </c>
      <c r="M369" s="11" t="str">
        <f t="shared" si="23"/>
        <v>4B</v>
      </c>
      <c r="N369" s="1" t="str">
        <f t="shared" si="24"/>
        <v>006Rg00000bU2FDIA0</v>
      </c>
    </row>
    <row r="370" spans="1:14" ht="29.15" x14ac:dyDescent="0.4">
      <c r="A370" s="1">
        <v>5</v>
      </c>
      <c r="B370" s="1">
        <v>22</v>
      </c>
      <c r="C370" s="1" t="s">
        <v>833</v>
      </c>
      <c r="D370" s="1" t="s">
        <v>2</v>
      </c>
      <c r="E370" s="1" t="s">
        <v>683</v>
      </c>
      <c r="F370" s="1" t="s">
        <v>192</v>
      </c>
      <c r="G370" s="11" t="str">
        <f>_xlfn.XLOOKUP(M370,'Code Catagories'!A:A,'Code Catagories'!C:C)</f>
        <v>4D. Contract Mechanics</v>
      </c>
      <c r="H370" s="1" t="s">
        <v>138</v>
      </c>
      <c r="I370" s="1" t="s">
        <v>394</v>
      </c>
      <c r="J370" s="1" t="s">
        <v>140</v>
      </c>
      <c r="K370" s="1" t="s">
        <v>148</v>
      </c>
      <c r="L370" s="10" t="s">
        <v>834</v>
      </c>
      <c r="M370" s="11" t="str">
        <f t="shared" si="23"/>
        <v>4D</v>
      </c>
      <c r="N370" s="1" t="str">
        <f t="shared" si="24"/>
        <v>006Rg00000bU7bSIAS</v>
      </c>
    </row>
    <row r="371" spans="1:14" ht="29.15" x14ac:dyDescent="0.4">
      <c r="A371" s="1">
        <v>5</v>
      </c>
      <c r="B371" s="1">
        <v>22</v>
      </c>
      <c r="C371" s="1" t="s">
        <v>833</v>
      </c>
      <c r="D371" s="1" t="s">
        <v>2</v>
      </c>
      <c r="E371" s="1" t="s">
        <v>683</v>
      </c>
      <c r="F371" s="1" t="s">
        <v>192</v>
      </c>
      <c r="G371" s="11" t="str">
        <f>_xlfn.XLOOKUP(M371,'Code Catagories'!A:A,'Code Catagories'!C:C)</f>
        <v>4D. Contract Mechanics</v>
      </c>
      <c r="H371" s="1" t="s">
        <v>134</v>
      </c>
      <c r="I371" s="1" t="s">
        <v>240</v>
      </c>
      <c r="J371" s="1" t="s">
        <v>203</v>
      </c>
      <c r="K371" s="1" t="s">
        <v>141</v>
      </c>
      <c r="L371" s="10" t="s">
        <v>835</v>
      </c>
      <c r="M371" s="11" t="str">
        <f t="shared" si="23"/>
        <v>4D</v>
      </c>
      <c r="N371" s="1" t="str">
        <f t="shared" si="24"/>
        <v>006Rg00000bU7bSIAS</v>
      </c>
    </row>
    <row r="372" spans="1:14" x14ac:dyDescent="0.4">
      <c r="A372" s="1">
        <v>5</v>
      </c>
      <c r="B372" s="1">
        <v>22</v>
      </c>
      <c r="C372" s="1" t="s">
        <v>836</v>
      </c>
      <c r="D372" s="1" t="s">
        <v>1</v>
      </c>
      <c r="E372" s="1" t="s">
        <v>134</v>
      </c>
      <c r="F372" s="1" t="s">
        <v>134</v>
      </c>
      <c r="G372" s="11" t="e">
        <f>_xlfn.XLOOKUP(M372,'Code Catagories'!A:A,'Code Catagories'!C:C)</f>
        <v>#N/A</v>
      </c>
      <c r="H372" s="1" t="s">
        <v>134</v>
      </c>
      <c r="I372" s="1" t="s">
        <v>134</v>
      </c>
      <c r="J372" s="1" t="s">
        <v>134</v>
      </c>
      <c r="K372" s="1" t="s">
        <v>134</v>
      </c>
      <c r="L372" s="10" t="s">
        <v>135</v>
      </c>
      <c r="M372" s="11" t="str">
        <f t="shared" si="23"/>
        <v>—</v>
      </c>
      <c r="N372" s="1" t="str">
        <f t="shared" si="24"/>
        <v>006Rg00000bUavCIAS</v>
      </c>
    </row>
    <row r="373" spans="1:14" x14ac:dyDescent="0.4">
      <c r="A373" s="1">
        <v>5</v>
      </c>
      <c r="B373" s="1">
        <v>22</v>
      </c>
      <c r="C373" s="1" t="s">
        <v>837</v>
      </c>
      <c r="D373" s="1" t="s">
        <v>1</v>
      </c>
      <c r="E373" s="1" t="s">
        <v>418</v>
      </c>
      <c r="F373" s="1" t="s">
        <v>134</v>
      </c>
      <c r="G373" s="11" t="e">
        <f>_xlfn.XLOOKUP(M373,'Code Catagories'!A:A,'Code Catagories'!C:C)</f>
        <v>#N/A</v>
      </c>
      <c r="H373" s="1" t="s">
        <v>134</v>
      </c>
      <c r="I373" s="1" t="s">
        <v>134</v>
      </c>
      <c r="J373" s="1" t="s">
        <v>134</v>
      </c>
      <c r="K373" s="1" t="s">
        <v>134</v>
      </c>
      <c r="L373" s="10" t="s">
        <v>135</v>
      </c>
      <c r="M373" s="11" t="str">
        <f t="shared" si="23"/>
        <v>—</v>
      </c>
      <c r="N373" s="1" t="str">
        <f t="shared" si="24"/>
        <v>006Rg00000bUDs9IAG</v>
      </c>
    </row>
    <row r="374" spans="1:14" ht="29.15" x14ac:dyDescent="0.4">
      <c r="A374" s="1">
        <v>5</v>
      </c>
      <c r="B374" s="1">
        <v>22</v>
      </c>
      <c r="C374" s="1" t="s">
        <v>838</v>
      </c>
      <c r="D374" s="1" t="s">
        <v>1</v>
      </c>
      <c r="E374" s="1" t="s">
        <v>418</v>
      </c>
      <c r="F374" s="1" t="s">
        <v>145</v>
      </c>
      <c r="G374" s="11" t="str">
        <f>_xlfn.XLOOKUP(M374,'Code Catagories'!A:A,'Code Catagories'!C:C)</f>
        <v>4A. Rate Uncompetitive</v>
      </c>
      <c r="H374" s="1" t="s">
        <v>134</v>
      </c>
      <c r="I374" s="1" t="s">
        <v>241</v>
      </c>
      <c r="J374" s="1" t="s">
        <v>203</v>
      </c>
      <c r="K374" s="1" t="s">
        <v>141</v>
      </c>
      <c r="L374" s="10" t="s">
        <v>839</v>
      </c>
      <c r="M374" s="11" t="str">
        <f t="shared" si="23"/>
        <v>4A</v>
      </c>
      <c r="N374" s="1" t="str">
        <f t="shared" si="24"/>
        <v>006Rg00000bUh5RIAS</v>
      </c>
    </row>
    <row r="375" spans="1:14" x14ac:dyDescent="0.4">
      <c r="A375" s="1">
        <v>5</v>
      </c>
      <c r="B375" s="1">
        <v>22</v>
      </c>
      <c r="C375" s="1" t="s">
        <v>840</v>
      </c>
      <c r="D375" s="1" t="s">
        <v>2</v>
      </c>
      <c r="E375" s="1" t="s">
        <v>134</v>
      </c>
      <c r="F375" s="1" t="s">
        <v>134</v>
      </c>
      <c r="G375" s="11" t="e">
        <f>_xlfn.XLOOKUP(M375,'Code Catagories'!A:A,'Code Catagories'!C:C)</f>
        <v>#N/A</v>
      </c>
      <c r="H375" s="1" t="s">
        <v>134</v>
      </c>
      <c r="I375" s="1" t="s">
        <v>134</v>
      </c>
      <c r="J375" s="1" t="s">
        <v>134</v>
      </c>
      <c r="K375" s="1" t="s">
        <v>134</v>
      </c>
      <c r="L375" s="10" t="s">
        <v>135</v>
      </c>
      <c r="M375" s="11" t="str">
        <f t="shared" si="23"/>
        <v>—</v>
      </c>
      <c r="N375" s="1" t="str">
        <f t="shared" si="24"/>
        <v>006Rg00000bUomtIAC</v>
      </c>
    </row>
    <row r="376" spans="1:14" ht="29.15" x14ac:dyDescent="0.4">
      <c r="A376" s="1">
        <v>5</v>
      </c>
      <c r="B376" s="1">
        <v>22</v>
      </c>
      <c r="C376" s="1" t="s">
        <v>841</v>
      </c>
      <c r="D376" s="1" t="s">
        <v>1</v>
      </c>
      <c r="E376" s="1" t="s">
        <v>134</v>
      </c>
      <c r="F376" s="1" t="s">
        <v>134</v>
      </c>
      <c r="G376" s="11" t="e">
        <f>_xlfn.XLOOKUP(M376,'Code Catagories'!A:A,'Code Catagories'!C:C)</f>
        <v>#N/A</v>
      </c>
      <c r="H376" s="1" t="s">
        <v>134</v>
      </c>
      <c r="I376" s="1" t="s">
        <v>134</v>
      </c>
      <c r="J376" s="1" t="s">
        <v>134</v>
      </c>
      <c r="K376" s="1" t="s">
        <v>134</v>
      </c>
      <c r="L376" s="10" t="s">
        <v>842</v>
      </c>
      <c r="M376" s="11" t="str">
        <f t="shared" si="23"/>
        <v>—</v>
      </c>
      <c r="N376" s="1" t="str">
        <f t="shared" si="24"/>
        <v>006Rg00000bUrHjIAK</v>
      </c>
    </row>
    <row r="377" spans="1:14" ht="29.15" x14ac:dyDescent="0.4">
      <c r="A377" s="1">
        <v>5</v>
      </c>
      <c r="B377" s="1">
        <v>22</v>
      </c>
      <c r="C377" s="1" t="s">
        <v>843</v>
      </c>
      <c r="D377" s="1" t="s">
        <v>2</v>
      </c>
      <c r="E377" s="1" t="s">
        <v>844</v>
      </c>
      <c r="F377" s="1" t="s">
        <v>192</v>
      </c>
      <c r="G377" s="11" t="str">
        <f>_xlfn.XLOOKUP(M377,'Code Catagories'!A:A,'Code Catagories'!C:C)</f>
        <v>4D. Contract Mechanics</v>
      </c>
      <c r="H377" s="1" t="s">
        <v>134</v>
      </c>
      <c r="I377" s="1" t="s">
        <v>394</v>
      </c>
      <c r="J377" s="1" t="s">
        <v>203</v>
      </c>
      <c r="K377" s="1" t="s">
        <v>141</v>
      </c>
      <c r="L377" s="10" t="s">
        <v>845</v>
      </c>
      <c r="M377" s="11" t="str">
        <f t="shared" si="23"/>
        <v>4D</v>
      </c>
      <c r="N377" s="1" t="str">
        <f t="shared" si="24"/>
        <v>006Rg00000bUwyvIAC</v>
      </c>
    </row>
    <row r="378" spans="1:14" ht="29.15" x14ac:dyDescent="0.4">
      <c r="A378" s="1">
        <v>5</v>
      </c>
      <c r="B378" s="1">
        <v>22</v>
      </c>
      <c r="C378" s="1" t="s">
        <v>843</v>
      </c>
      <c r="D378" s="1" t="s">
        <v>2</v>
      </c>
      <c r="E378" s="1" t="s">
        <v>844</v>
      </c>
      <c r="F378" s="1" t="s">
        <v>137</v>
      </c>
      <c r="G378" s="11" t="str">
        <f>_xlfn.XLOOKUP(M378,'Code Catagories'!A:A,'Code Catagories'!C:C)</f>
        <v>4B. Ancillary Fees</v>
      </c>
      <c r="H378" s="1" t="s">
        <v>134</v>
      </c>
      <c r="I378" s="1" t="s">
        <v>207</v>
      </c>
      <c r="J378" s="1" t="s">
        <v>203</v>
      </c>
      <c r="K378" s="1" t="s">
        <v>141</v>
      </c>
      <c r="L378" s="10" t="s">
        <v>846</v>
      </c>
      <c r="M378" s="11" t="str">
        <f t="shared" si="23"/>
        <v>4B</v>
      </c>
      <c r="N378" s="1" t="str">
        <f t="shared" si="24"/>
        <v>006Rg00000bUwyvIAC</v>
      </c>
    </row>
    <row r="379" spans="1:14" x14ac:dyDescent="0.4">
      <c r="A379" s="1">
        <v>5</v>
      </c>
      <c r="B379" s="1">
        <v>22</v>
      </c>
      <c r="C379" s="1" t="s">
        <v>847</v>
      </c>
      <c r="D379" s="1" t="s">
        <v>1</v>
      </c>
      <c r="E379" s="1" t="s">
        <v>134</v>
      </c>
      <c r="F379" s="1" t="s">
        <v>134</v>
      </c>
      <c r="G379" s="11" t="e">
        <f>_xlfn.XLOOKUP(M379,'Code Catagories'!A:A,'Code Catagories'!C:C)</f>
        <v>#N/A</v>
      </c>
      <c r="H379" s="1" t="s">
        <v>134</v>
      </c>
      <c r="I379" s="1" t="s">
        <v>134</v>
      </c>
      <c r="J379" s="1" t="s">
        <v>134</v>
      </c>
      <c r="K379" s="1" t="s">
        <v>134</v>
      </c>
      <c r="L379" s="10" t="s">
        <v>135</v>
      </c>
      <c r="M379" s="11" t="str">
        <f t="shared" si="23"/>
        <v>—</v>
      </c>
      <c r="N379" s="1" t="str">
        <f t="shared" si="24"/>
        <v>006Rg00000bvmDuIAI</v>
      </c>
    </row>
    <row r="380" spans="1:14" x14ac:dyDescent="0.4">
      <c r="A380" s="1">
        <v>5</v>
      </c>
      <c r="B380" s="1">
        <v>23</v>
      </c>
      <c r="C380" s="1" t="s">
        <v>848</v>
      </c>
      <c r="D380" s="1" t="s">
        <v>1</v>
      </c>
      <c r="E380" s="1" t="s">
        <v>134</v>
      </c>
      <c r="F380" s="1" t="s">
        <v>134</v>
      </c>
      <c r="G380" s="11" t="e">
        <f>_xlfn.XLOOKUP(M380,'Code Catagories'!A:A,'Code Catagories'!C:C)</f>
        <v>#N/A</v>
      </c>
      <c r="H380" s="1" t="s">
        <v>134</v>
      </c>
      <c r="I380" s="1" t="s">
        <v>134</v>
      </c>
      <c r="J380" s="1" t="s">
        <v>134</v>
      </c>
      <c r="K380" s="1" t="s">
        <v>134</v>
      </c>
      <c r="L380" s="10" t="s">
        <v>135</v>
      </c>
      <c r="M380" s="11" t="str">
        <f t="shared" si="23"/>
        <v>—</v>
      </c>
      <c r="N380" s="1" t="str">
        <f t="shared" si="24"/>
        <v>006Rg00000bvMkzIAE</v>
      </c>
    </row>
    <row r="381" spans="1:14" x14ac:dyDescent="0.4">
      <c r="A381" s="1">
        <v>5</v>
      </c>
      <c r="B381" s="1">
        <v>23</v>
      </c>
      <c r="C381" s="1" t="s">
        <v>849</v>
      </c>
      <c r="D381" s="1" t="s">
        <v>1</v>
      </c>
      <c r="E381" s="1" t="s">
        <v>850</v>
      </c>
      <c r="F381" s="1" t="s">
        <v>134</v>
      </c>
      <c r="G381" s="11" t="e">
        <f>_xlfn.XLOOKUP(M381,'Code Catagories'!A:A,'Code Catagories'!C:C)</f>
        <v>#N/A</v>
      </c>
      <c r="H381" s="1" t="s">
        <v>134</v>
      </c>
      <c r="I381" s="1" t="s">
        <v>134</v>
      </c>
      <c r="J381" s="1" t="s">
        <v>134</v>
      </c>
      <c r="K381" s="1" t="s">
        <v>134</v>
      </c>
      <c r="L381" s="10" t="s">
        <v>135</v>
      </c>
      <c r="M381" s="11" t="str">
        <f t="shared" si="23"/>
        <v>—</v>
      </c>
      <c r="N381" s="1" t="str">
        <f t="shared" si="24"/>
        <v>006Rg00000bvQDgIAM</v>
      </c>
    </row>
    <row r="382" spans="1:14" x14ac:dyDescent="0.4">
      <c r="A382" s="1">
        <v>5</v>
      </c>
      <c r="B382" s="1">
        <v>23</v>
      </c>
      <c r="C382" s="1" t="s">
        <v>851</v>
      </c>
      <c r="D382" s="1" t="s">
        <v>1</v>
      </c>
      <c r="E382" s="1" t="s">
        <v>134</v>
      </c>
      <c r="F382" s="1" t="s">
        <v>134</v>
      </c>
      <c r="G382" s="11" t="e">
        <f>_xlfn.XLOOKUP(M382,'Code Catagories'!A:A,'Code Catagories'!C:C)</f>
        <v>#N/A</v>
      </c>
      <c r="H382" s="1" t="s">
        <v>134</v>
      </c>
      <c r="I382" s="1" t="s">
        <v>134</v>
      </c>
      <c r="J382" s="1" t="s">
        <v>134</v>
      </c>
      <c r="K382" s="1" t="s">
        <v>134</v>
      </c>
      <c r="L382" s="10" t="s">
        <v>135</v>
      </c>
      <c r="M382" s="11" t="str">
        <f t="shared" si="23"/>
        <v>—</v>
      </c>
      <c r="N382" s="1" t="str">
        <f t="shared" si="24"/>
        <v>006Rg00000bVxzPIAS</v>
      </c>
    </row>
    <row r="383" spans="1:14" ht="29.15" x14ac:dyDescent="0.4">
      <c r="A383" s="1">
        <v>5</v>
      </c>
      <c r="B383" s="1">
        <v>23</v>
      </c>
      <c r="C383" s="1" t="s">
        <v>852</v>
      </c>
      <c r="D383" s="1" t="s">
        <v>2</v>
      </c>
      <c r="E383" s="1" t="s">
        <v>389</v>
      </c>
      <c r="F383" s="1" t="s">
        <v>137</v>
      </c>
      <c r="G383" s="11" t="str">
        <f>_xlfn.XLOOKUP(M383,'Code Catagories'!A:A,'Code Catagories'!C:C)</f>
        <v>4B. Ancillary Fees</v>
      </c>
      <c r="H383" s="1" t="s">
        <v>138</v>
      </c>
      <c r="I383" s="1" t="s">
        <v>207</v>
      </c>
      <c r="J383" s="1" t="s">
        <v>140</v>
      </c>
      <c r="K383" s="1" t="s">
        <v>141</v>
      </c>
      <c r="L383" s="10" t="s">
        <v>853</v>
      </c>
      <c r="M383" s="11" t="str">
        <f t="shared" si="23"/>
        <v>4B</v>
      </c>
      <c r="N383" s="1" t="str">
        <f t="shared" si="24"/>
        <v>006Rg00000bvZBqIAM</v>
      </c>
    </row>
    <row r="384" spans="1:14" x14ac:dyDescent="0.4">
      <c r="A384" s="1">
        <v>5</v>
      </c>
      <c r="B384" s="1">
        <v>23</v>
      </c>
      <c r="C384" s="1" t="s">
        <v>854</v>
      </c>
      <c r="D384" s="1" t="s">
        <v>1</v>
      </c>
      <c r="E384" s="1" t="s">
        <v>855</v>
      </c>
      <c r="F384" s="1" t="s">
        <v>134</v>
      </c>
      <c r="G384" s="11" t="e">
        <f>_xlfn.XLOOKUP(M384,'Code Catagories'!A:A,'Code Catagories'!C:C)</f>
        <v>#N/A</v>
      </c>
      <c r="H384" s="1" t="s">
        <v>134</v>
      </c>
      <c r="I384" s="1" t="s">
        <v>134</v>
      </c>
      <c r="J384" s="1" t="s">
        <v>134</v>
      </c>
      <c r="K384" s="1" t="s">
        <v>134</v>
      </c>
      <c r="L384" s="10" t="s">
        <v>135</v>
      </c>
      <c r="M384" s="11" t="str">
        <f t="shared" si="23"/>
        <v>—</v>
      </c>
      <c r="N384" s="1" t="str">
        <f t="shared" si="24"/>
        <v>006Rg00000bvzO1IAI</v>
      </c>
    </row>
    <row r="385" spans="1:14" x14ac:dyDescent="0.4">
      <c r="A385" s="1">
        <v>5</v>
      </c>
      <c r="B385" s="1">
        <v>23</v>
      </c>
      <c r="C385" s="1" t="s">
        <v>856</v>
      </c>
      <c r="D385" s="1" t="s">
        <v>2</v>
      </c>
      <c r="E385" s="1" t="s">
        <v>406</v>
      </c>
      <c r="F385" s="1" t="s">
        <v>134</v>
      </c>
      <c r="G385" s="11" t="e">
        <f>_xlfn.XLOOKUP(M385,'Code Catagories'!A:A,'Code Catagories'!C:C)</f>
        <v>#N/A</v>
      </c>
      <c r="H385" s="1" t="s">
        <v>134</v>
      </c>
      <c r="I385" s="1" t="s">
        <v>134</v>
      </c>
      <c r="J385" s="1" t="s">
        <v>134</v>
      </c>
      <c r="K385" s="1" t="s">
        <v>134</v>
      </c>
      <c r="L385" s="10" t="s">
        <v>135</v>
      </c>
      <c r="M385" s="11" t="str">
        <f t="shared" si="23"/>
        <v>—</v>
      </c>
      <c r="N385" s="1" t="str">
        <f t="shared" si="24"/>
        <v>006Rg00000bw3zWIAQ</v>
      </c>
    </row>
    <row r="386" spans="1:14" x14ac:dyDescent="0.4">
      <c r="A386" s="1">
        <v>5</v>
      </c>
      <c r="B386" s="1">
        <v>23</v>
      </c>
      <c r="C386" s="1" t="s">
        <v>857</v>
      </c>
      <c r="D386" s="1" t="s">
        <v>1</v>
      </c>
      <c r="E386" s="1" t="s">
        <v>418</v>
      </c>
      <c r="F386" s="1" t="s">
        <v>134</v>
      </c>
      <c r="G386" s="11" t="e">
        <f>_xlfn.XLOOKUP(M386,'Code Catagories'!A:A,'Code Catagories'!C:C)</f>
        <v>#N/A</v>
      </c>
      <c r="H386" s="1" t="s">
        <v>134</v>
      </c>
      <c r="I386" s="1" t="s">
        <v>134</v>
      </c>
      <c r="J386" s="1" t="s">
        <v>134</v>
      </c>
      <c r="K386" s="1" t="s">
        <v>134</v>
      </c>
      <c r="L386" s="10" t="s">
        <v>135</v>
      </c>
      <c r="M386" s="11" t="str">
        <f t="shared" si="23"/>
        <v>—</v>
      </c>
      <c r="N386" s="1" t="str">
        <f t="shared" si="24"/>
        <v>006Rg00000bw5hxIAA</v>
      </c>
    </row>
    <row r="387" spans="1:14" ht="29.15" x14ac:dyDescent="0.4">
      <c r="A387" s="1">
        <v>5</v>
      </c>
      <c r="B387" s="1">
        <v>23</v>
      </c>
      <c r="C387" s="1" t="s">
        <v>858</v>
      </c>
      <c r="D387" s="1" t="s">
        <v>1</v>
      </c>
      <c r="E387" s="1" t="s">
        <v>859</v>
      </c>
      <c r="F387" s="1" t="s">
        <v>137</v>
      </c>
      <c r="G387" s="11" t="str">
        <f>_xlfn.XLOOKUP(M387,'Code Catagories'!A:A,'Code Catagories'!C:C)</f>
        <v>4B. Ancillary Fees</v>
      </c>
      <c r="H387" s="1" t="s">
        <v>138</v>
      </c>
      <c r="I387" s="1" t="s">
        <v>232</v>
      </c>
      <c r="J387" s="1" t="s">
        <v>147</v>
      </c>
      <c r="K387" s="1" t="s">
        <v>148</v>
      </c>
      <c r="L387" s="10" t="s">
        <v>860</v>
      </c>
      <c r="M387" s="11" t="str">
        <f t="shared" si="23"/>
        <v>4B</v>
      </c>
      <c r="N387" s="1" t="str">
        <f t="shared" si="24"/>
        <v>006Rg00000bWn6jIAC</v>
      </c>
    </row>
    <row r="388" spans="1:14" x14ac:dyDescent="0.4">
      <c r="A388" s="1">
        <v>5</v>
      </c>
      <c r="B388" s="1">
        <v>23</v>
      </c>
      <c r="C388" s="1" t="s">
        <v>861</v>
      </c>
      <c r="D388" s="1" t="s">
        <v>1</v>
      </c>
      <c r="E388" s="1" t="s">
        <v>862</v>
      </c>
      <c r="F388" s="1" t="s">
        <v>134</v>
      </c>
      <c r="G388" s="11" t="e">
        <f>_xlfn.XLOOKUP(M388,'Code Catagories'!A:A,'Code Catagories'!C:C)</f>
        <v>#N/A</v>
      </c>
      <c r="H388" s="1" t="s">
        <v>134</v>
      </c>
      <c r="I388" s="1" t="s">
        <v>134</v>
      </c>
      <c r="J388" s="1" t="s">
        <v>134</v>
      </c>
      <c r="K388" s="1" t="s">
        <v>134</v>
      </c>
      <c r="L388" s="10" t="s">
        <v>135</v>
      </c>
      <c r="M388" s="11" t="str">
        <f t="shared" si="23"/>
        <v>—</v>
      </c>
      <c r="N388" s="1" t="str">
        <f t="shared" si="24"/>
        <v>006Rg00000bwUYIIA2</v>
      </c>
    </row>
    <row r="389" spans="1:14" x14ac:dyDescent="0.4">
      <c r="A389" s="1">
        <v>5</v>
      </c>
      <c r="B389" s="1">
        <v>23</v>
      </c>
      <c r="C389" s="1" t="s">
        <v>863</v>
      </c>
      <c r="D389" s="1" t="s">
        <v>1</v>
      </c>
      <c r="E389" s="1" t="s">
        <v>134</v>
      </c>
      <c r="F389" s="1" t="s">
        <v>134</v>
      </c>
      <c r="G389" s="11" t="e">
        <f>_xlfn.XLOOKUP(M389,'Code Catagories'!A:A,'Code Catagories'!C:C)</f>
        <v>#N/A</v>
      </c>
      <c r="H389" s="1" t="s">
        <v>134</v>
      </c>
      <c r="I389" s="1" t="s">
        <v>134</v>
      </c>
      <c r="J389" s="1" t="s">
        <v>134</v>
      </c>
      <c r="K389" s="1" t="s">
        <v>134</v>
      </c>
      <c r="L389" s="10" t="s">
        <v>135</v>
      </c>
      <c r="M389" s="11" t="str">
        <f t="shared" si="23"/>
        <v>—</v>
      </c>
      <c r="N389" s="1" t="str">
        <f t="shared" si="24"/>
        <v>006Rg00000bwXERIA2</v>
      </c>
    </row>
    <row r="390" spans="1:14" x14ac:dyDescent="0.4">
      <c r="A390" s="1">
        <v>5</v>
      </c>
      <c r="B390" s="1">
        <v>23</v>
      </c>
      <c r="C390" s="1" t="s">
        <v>864</v>
      </c>
      <c r="D390" s="1" t="s">
        <v>1</v>
      </c>
      <c r="E390" s="1" t="s">
        <v>134</v>
      </c>
      <c r="F390" s="1" t="s">
        <v>134</v>
      </c>
      <c r="G390" s="11" t="e">
        <f>_xlfn.XLOOKUP(M390,'Code Catagories'!A:A,'Code Catagories'!C:C)</f>
        <v>#N/A</v>
      </c>
      <c r="H390" s="1" t="s">
        <v>134</v>
      </c>
      <c r="I390" s="1" t="s">
        <v>134</v>
      </c>
      <c r="J390" s="1" t="s">
        <v>134</v>
      </c>
      <c r="K390" s="1" t="s">
        <v>134</v>
      </c>
      <c r="L390" s="10" t="s">
        <v>135</v>
      </c>
      <c r="M390" s="11" t="str">
        <f t="shared" si="23"/>
        <v>—</v>
      </c>
      <c r="N390" s="1" t="str">
        <f t="shared" si="24"/>
        <v>006Rg00000bWZOlIAO</v>
      </c>
    </row>
    <row r="391" spans="1:14" x14ac:dyDescent="0.4">
      <c r="A391" s="1">
        <v>5</v>
      </c>
      <c r="B391" s="1">
        <v>23</v>
      </c>
      <c r="C391" s="1" t="s">
        <v>865</v>
      </c>
      <c r="D391" s="1" t="s">
        <v>2</v>
      </c>
      <c r="E391" s="1" t="s">
        <v>418</v>
      </c>
      <c r="F391" s="1" t="s">
        <v>134</v>
      </c>
      <c r="G391" s="11" t="e">
        <f>_xlfn.XLOOKUP(M391,'Code Catagories'!A:A,'Code Catagories'!C:C)</f>
        <v>#N/A</v>
      </c>
      <c r="H391" s="1" t="s">
        <v>134</v>
      </c>
      <c r="I391" s="1" t="s">
        <v>134</v>
      </c>
      <c r="J391" s="1" t="s">
        <v>134</v>
      </c>
      <c r="K391" s="1" t="s">
        <v>134</v>
      </c>
      <c r="L391" s="10" t="s">
        <v>135</v>
      </c>
      <c r="M391" s="11" t="str">
        <f t="shared" si="23"/>
        <v>—</v>
      </c>
      <c r="N391" s="1" t="str">
        <f t="shared" si="24"/>
        <v>006Rg00000bX6XZIA0</v>
      </c>
    </row>
    <row r="392" spans="1:14" ht="43.75" x14ac:dyDescent="0.4">
      <c r="A392" s="1">
        <v>5</v>
      </c>
      <c r="B392" s="1">
        <v>23</v>
      </c>
      <c r="C392" s="1" t="s">
        <v>866</v>
      </c>
      <c r="D392" s="1" t="s">
        <v>2</v>
      </c>
      <c r="E392" s="1" t="s">
        <v>867</v>
      </c>
      <c r="F392" s="1" t="s">
        <v>192</v>
      </c>
      <c r="G392" s="11" t="str">
        <f>_xlfn.XLOOKUP(M392,'Code Catagories'!A:A,'Code Catagories'!C:C)</f>
        <v>4D. Contract Mechanics</v>
      </c>
      <c r="H392" s="1" t="s">
        <v>134</v>
      </c>
      <c r="I392" s="1" t="s">
        <v>193</v>
      </c>
      <c r="J392" s="1" t="s">
        <v>224</v>
      </c>
      <c r="K392" s="1" t="s">
        <v>141</v>
      </c>
      <c r="L392" s="10" t="s">
        <v>868</v>
      </c>
      <c r="M392" s="11" t="str">
        <f t="shared" si="23"/>
        <v>4D</v>
      </c>
      <c r="N392" s="1" t="str">
        <f t="shared" si="24"/>
        <v>006Rg00000bXBnNIAW</v>
      </c>
    </row>
    <row r="393" spans="1:14" ht="29.15" x14ac:dyDescent="0.4">
      <c r="A393" s="1">
        <v>5</v>
      </c>
      <c r="B393" s="1">
        <v>23</v>
      </c>
      <c r="C393" s="1" t="s">
        <v>869</v>
      </c>
      <c r="D393" s="1" t="s">
        <v>1</v>
      </c>
      <c r="E393" s="1" t="s">
        <v>870</v>
      </c>
      <c r="F393" s="1" t="s">
        <v>222</v>
      </c>
      <c r="G393" s="11" t="str">
        <f>_xlfn.XLOOKUP(M393,'Code Catagories'!A:A,'Code Catagories'!C:C)</f>
        <v>4C. Commercial Model</v>
      </c>
      <c r="H393" s="1" t="s">
        <v>134</v>
      </c>
      <c r="I393" s="1" t="s">
        <v>239</v>
      </c>
      <c r="J393" s="1" t="s">
        <v>203</v>
      </c>
      <c r="K393" s="1" t="s">
        <v>141</v>
      </c>
      <c r="L393" s="10" t="s">
        <v>871</v>
      </c>
      <c r="M393" s="11" t="str">
        <f t="shared" si="23"/>
        <v>4C</v>
      </c>
      <c r="N393" s="1" t="str">
        <f t="shared" si="24"/>
        <v>006Rg00000bXgzGIAS</v>
      </c>
    </row>
    <row r="394" spans="1:14" ht="29.15" x14ac:dyDescent="0.4">
      <c r="A394" s="1">
        <v>5</v>
      </c>
      <c r="B394" s="1">
        <v>24</v>
      </c>
      <c r="C394" s="1" t="s">
        <v>872</v>
      </c>
      <c r="D394" s="1" t="s">
        <v>2</v>
      </c>
      <c r="E394" s="1" t="s">
        <v>379</v>
      </c>
      <c r="F394" s="1" t="s">
        <v>166</v>
      </c>
      <c r="G394" s="11" t="str">
        <f>_xlfn.XLOOKUP(M394,'Code Catagories'!A:A,'Code Catagories'!C:C)</f>
        <v>4F. Promotion Ineligibility</v>
      </c>
      <c r="H394" s="1" t="s">
        <v>134</v>
      </c>
      <c r="I394" s="1" t="s">
        <v>873</v>
      </c>
      <c r="J394" s="1" t="s">
        <v>203</v>
      </c>
      <c r="K394" s="1" t="s">
        <v>148</v>
      </c>
      <c r="L394" s="10" t="s">
        <v>874</v>
      </c>
      <c r="M394" s="11" t="str">
        <f t="shared" si="23"/>
        <v>4F</v>
      </c>
      <c r="N394" s="1" t="str">
        <f t="shared" ref="N394:N408" si="25">TRIM(C394)</f>
        <v>006Rg00000bXs19IAC</v>
      </c>
    </row>
    <row r="395" spans="1:14" ht="29.15" x14ac:dyDescent="0.4">
      <c r="A395" s="1">
        <v>5</v>
      </c>
      <c r="B395" s="1">
        <v>24</v>
      </c>
      <c r="C395" s="1" t="s">
        <v>875</v>
      </c>
      <c r="D395" s="1" t="s">
        <v>1</v>
      </c>
      <c r="E395" s="1" t="s">
        <v>876</v>
      </c>
      <c r="F395" s="1" t="s">
        <v>166</v>
      </c>
      <c r="G395" s="11" t="str">
        <f>_xlfn.XLOOKUP(M395,'Code Catagories'!A:A,'Code Catagories'!C:C)</f>
        <v>4F. Promotion Ineligibility</v>
      </c>
      <c r="H395" s="1" t="s">
        <v>134</v>
      </c>
      <c r="I395" s="1" t="s">
        <v>239</v>
      </c>
      <c r="J395" s="1" t="s">
        <v>203</v>
      </c>
      <c r="K395" s="1" t="s">
        <v>148</v>
      </c>
      <c r="L395" s="10" t="s">
        <v>877</v>
      </c>
      <c r="M395" s="11" t="str">
        <f t="shared" si="23"/>
        <v>4F</v>
      </c>
      <c r="N395" s="1" t="str">
        <f t="shared" si="25"/>
        <v>006Rg00000bXtjZIAS</v>
      </c>
    </row>
    <row r="396" spans="1:14" x14ac:dyDescent="0.4">
      <c r="A396" s="1">
        <v>5</v>
      </c>
      <c r="B396" s="1">
        <v>24</v>
      </c>
      <c r="C396" s="1" t="s">
        <v>878</v>
      </c>
      <c r="D396" s="1" t="s">
        <v>1</v>
      </c>
      <c r="E396" s="1" t="s">
        <v>879</v>
      </c>
      <c r="F396" s="1" t="s">
        <v>134</v>
      </c>
      <c r="G396" s="11" t="e">
        <f>_xlfn.XLOOKUP(M396,'Code Catagories'!A:A,'Code Catagories'!C:C)</f>
        <v>#N/A</v>
      </c>
      <c r="H396" s="1" t="s">
        <v>134</v>
      </c>
      <c r="I396" s="1" t="s">
        <v>134</v>
      </c>
      <c r="J396" s="1" t="s">
        <v>134</v>
      </c>
      <c r="K396" s="1" t="s">
        <v>134</v>
      </c>
      <c r="L396" s="10" t="s">
        <v>135</v>
      </c>
      <c r="M396" s="11" t="str">
        <f t="shared" si="23"/>
        <v>—</v>
      </c>
      <c r="N396" s="1" t="str">
        <f t="shared" si="25"/>
        <v>006Rg00000by7NwIAI</v>
      </c>
    </row>
    <row r="397" spans="1:14" x14ac:dyDescent="0.4">
      <c r="A397" s="1">
        <v>5</v>
      </c>
      <c r="B397" s="1">
        <v>24</v>
      </c>
      <c r="C397" s="1" t="s">
        <v>880</v>
      </c>
      <c r="D397" s="1" t="s">
        <v>1</v>
      </c>
      <c r="E397" s="1" t="s">
        <v>881</v>
      </c>
      <c r="F397" s="1" t="s">
        <v>134</v>
      </c>
      <c r="G397" s="11" t="e">
        <f>_xlfn.XLOOKUP(M397,'Code Catagories'!A:A,'Code Catagories'!C:C)</f>
        <v>#N/A</v>
      </c>
      <c r="H397" s="1" t="s">
        <v>134</v>
      </c>
      <c r="I397" s="1" t="s">
        <v>134</v>
      </c>
      <c r="J397" s="1" t="s">
        <v>134</v>
      </c>
      <c r="K397" s="1" t="s">
        <v>134</v>
      </c>
      <c r="L397" s="10" t="s">
        <v>135</v>
      </c>
      <c r="M397" s="11" t="str">
        <f t="shared" si="23"/>
        <v>—</v>
      </c>
      <c r="N397" s="1" t="str">
        <f t="shared" si="25"/>
        <v>006Rg00000byfFtIAI</v>
      </c>
    </row>
    <row r="398" spans="1:14" x14ac:dyDescent="0.4">
      <c r="A398" s="1">
        <v>5</v>
      </c>
      <c r="B398" s="1">
        <v>24</v>
      </c>
      <c r="C398" s="1" t="s">
        <v>882</v>
      </c>
      <c r="D398" s="1" t="s">
        <v>1</v>
      </c>
      <c r="E398" s="1" t="s">
        <v>883</v>
      </c>
      <c r="F398" s="1" t="s">
        <v>134</v>
      </c>
      <c r="G398" s="11" t="e">
        <f>_xlfn.XLOOKUP(M398,'Code Catagories'!A:A,'Code Catagories'!C:C)</f>
        <v>#N/A</v>
      </c>
      <c r="H398" s="1" t="s">
        <v>134</v>
      </c>
      <c r="I398" s="1" t="s">
        <v>134</v>
      </c>
      <c r="J398" s="1" t="s">
        <v>134</v>
      </c>
      <c r="K398" s="1" t="s">
        <v>134</v>
      </c>
      <c r="L398" s="10" t="s">
        <v>135</v>
      </c>
      <c r="M398" s="11" t="str">
        <f t="shared" si="23"/>
        <v>—</v>
      </c>
      <c r="N398" s="1" t="str">
        <f t="shared" si="25"/>
        <v>006Rg00000byjctIAA</v>
      </c>
    </row>
    <row r="399" spans="1:14" ht="29.15" x14ac:dyDescent="0.4">
      <c r="A399" s="1">
        <v>5</v>
      </c>
      <c r="B399" s="1">
        <v>24</v>
      </c>
      <c r="C399" s="1" t="s">
        <v>884</v>
      </c>
      <c r="D399" s="1" t="s">
        <v>1</v>
      </c>
      <c r="E399" s="1" t="s">
        <v>134</v>
      </c>
      <c r="F399" s="1" t="s">
        <v>222</v>
      </c>
      <c r="G399" s="11" t="str">
        <f>_xlfn.XLOOKUP(M399,'Code Catagories'!A:A,'Code Catagories'!C:C)</f>
        <v>4C. Commercial Model</v>
      </c>
      <c r="H399" s="1" t="s">
        <v>134</v>
      </c>
      <c r="I399" s="1" t="s">
        <v>223</v>
      </c>
      <c r="J399" s="1" t="s">
        <v>245</v>
      </c>
      <c r="K399" s="1" t="s">
        <v>141</v>
      </c>
      <c r="L399" s="10" t="s">
        <v>885</v>
      </c>
      <c r="M399" s="11" t="str">
        <f t="shared" si="23"/>
        <v>4C</v>
      </c>
      <c r="N399" s="1" t="str">
        <f t="shared" si="25"/>
        <v>006Rg00000byjGYIAY</v>
      </c>
    </row>
    <row r="400" spans="1:14" ht="29.15" x14ac:dyDescent="0.4">
      <c r="A400" s="1">
        <v>5</v>
      </c>
      <c r="B400" s="1">
        <v>24</v>
      </c>
      <c r="C400" s="1" t="s">
        <v>886</v>
      </c>
      <c r="D400" s="1" t="s">
        <v>1</v>
      </c>
      <c r="E400" s="1" t="s">
        <v>134</v>
      </c>
      <c r="F400" s="1" t="s">
        <v>137</v>
      </c>
      <c r="G400" s="11" t="str">
        <f>_xlfn.XLOOKUP(M400,'Code Catagories'!A:A,'Code Catagories'!C:C)</f>
        <v>4B. Ancillary Fees</v>
      </c>
      <c r="H400" s="1" t="s">
        <v>138</v>
      </c>
      <c r="I400" s="1" t="s">
        <v>697</v>
      </c>
      <c r="J400" s="1" t="s">
        <v>140</v>
      </c>
      <c r="K400" s="1" t="s">
        <v>148</v>
      </c>
      <c r="L400" s="10" t="s">
        <v>887</v>
      </c>
      <c r="M400" s="11" t="str">
        <f t="shared" si="23"/>
        <v>4B</v>
      </c>
      <c r="N400" s="1" t="str">
        <f t="shared" si="25"/>
        <v>006Rg00000byJs5IAE</v>
      </c>
    </row>
    <row r="401" spans="1:14" x14ac:dyDescent="0.4">
      <c r="A401" s="1">
        <v>5</v>
      </c>
      <c r="B401" s="1">
        <v>24</v>
      </c>
      <c r="C401" s="1" t="s">
        <v>888</v>
      </c>
      <c r="D401" s="1" t="s">
        <v>1</v>
      </c>
      <c r="E401" s="1" t="s">
        <v>817</v>
      </c>
      <c r="F401" s="1" t="s">
        <v>134</v>
      </c>
      <c r="G401" s="11" t="e">
        <f>_xlfn.XLOOKUP(M401,'Code Catagories'!A:A,'Code Catagories'!C:C)</f>
        <v>#N/A</v>
      </c>
      <c r="H401" s="1" t="s">
        <v>134</v>
      </c>
      <c r="I401" s="1" t="s">
        <v>134</v>
      </c>
      <c r="J401" s="1" t="s">
        <v>134</v>
      </c>
      <c r="K401" s="1" t="s">
        <v>134</v>
      </c>
      <c r="L401" s="10" t="s">
        <v>135</v>
      </c>
      <c r="M401" s="11" t="str">
        <f t="shared" si="23"/>
        <v>—</v>
      </c>
      <c r="N401" s="1" t="str">
        <f t="shared" si="25"/>
        <v>006Rg00000byrc1IAA</v>
      </c>
    </row>
    <row r="402" spans="1:14" ht="29.15" x14ac:dyDescent="0.4">
      <c r="A402" s="1">
        <v>5</v>
      </c>
      <c r="B402" s="1">
        <v>24</v>
      </c>
      <c r="C402" s="1" t="s">
        <v>889</v>
      </c>
      <c r="D402" s="1" t="s">
        <v>2</v>
      </c>
      <c r="E402" s="1" t="s">
        <v>890</v>
      </c>
      <c r="F402" s="1" t="s">
        <v>166</v>
      </c>
      <c r="G402" s="11" t="str">
        <f>_xlfn.XLOOKUP(M402,'Code Catagories'!A:A,'Code Catagories'!C:C)</f>
        <v>4F. Promotion Ineligibility</v>
      </c>
      <c r="H402" s="1" t="s">
        <v>134</v>
      </c>
      <c r="I402" s="1" t="s">
        <v>239</v>
      </c>
      <c r="J402" s="1" t="s">
        <v>203</v>
      </c>
      <c r="K402" s="1" t="s">
        <v>148</v>
      </c>
      <c r="L402" s="10" t="s">
        <v>891</v>
      </c>
      <c r="M402" s="11" t="str">
        <f t="shared" si="23"/>
        <v>4F</v>
      </c>
      <c r="N402" s="1" t="str">
        <f t="shared" si="25"/>
        <v>006Rg00000byYr8IAE</v>
      </c>
    </row>
    <row r="403" spans="1:14" ht="29.15" x14ac:dyDescent="0.4">
      <c r="A403" s="1">
        <v>5</v>
      </c>
      <c r="B403" s="1">
        <v>24</v>
      </c>
      <c r="C403" s="1" t="s">
        <v>889</v>
      </c>
      <c r="D403" s="1" t="s">
        <v>2</v>
      </c>
      <c r="E403" s="1" t="s">
        <v>890</v>
      </c>
      <c r="F403" s="1" t="s">
        <v>137</v>
      </c>
      <c r="G403" s="11" t="str">
        <f>_xlfn.XLOOKUP(M403,'Code Catagories'!A:A,'Code Catagories'!C:C)</f>
        <v>4B. Ancillary Fees</v>
      </c>
      <c r="H403" s="1" t="s">
        <v>138</v>
      </c>
      <c r="I403" s="1" t="s">
        <v>892</v>
      </c>
      <c r="J403" s="1" t="s">
        <v>140</v>
      </c>
      <c r="K403" s="1" t="s">
        <v>148</v>
      </c>
      <c r="L403" s="10" t="s">
        <v>893</v>
      </c>
      <c r="M403" s="11" t="str">
        <f t="shared" si="23"/>
        <v>4B</v>
      </c>
      <c r="N403" s="1" t="str">
        <f t="shared" si="25"/>
        <v>006Rg00000byYr8IAE</v>
      </c>
    </row>
    <row r="404" spans="1:14" ht="29.15" x14ac:dyDescent="0.4">
      <c r="A404" s="1">
        <v>5</v>
      </c>
      <c r="B404" s="1">
        <v>24</v>
      </c>
      <c r="C404" s="1" t="s">
        <v>894</v>
      </c>
      <c r="D404" s="1" t="s">
        <v>1</v>
      </c>
      <c r="E404" s="1" t="s">
        <v>895</v>
      </c>
      <c r="F404" s="1" t="s">
        <v>222</v>
      </c>
      <c r="G404" s="11" t="str">
        <f>_xlfn.XLOOKUP(M404,'Code Catagories'!A:A,'Code Catagories'!C:C)</f>
        <v>4C. Commercial Model</v>
      </c>
      <c r="H404" s="1" t="s">
        <v>134</v>
      </c>
      <c r="I404" s="1" t="s">
        <v>279</v>
      </c>
      <c r="J404" s="1" t="s">
        <v>203</v>
      </c>
      <c r="K404" s="1" t="s">
        <v>141</v>
      </c>
      <c r="L404" s="10" t="s">
        <v>896</v>
      </c>
      <c r="M404" s="11" t="str">
        <f t="shared" si="23"/>
        <v>4C</v>
      </c>
      <c r="N404" s="1" t="str">
        <f t="shared" si="25"/>
        <v>006Rg00000bzALKIA2</v>
      </c>
    </row>
    <row r="405" spans="1:14" ht="29.15" x14ac:dyDescent="0.4">
      <c r="A405" s="1">
        <v>5</v>
      </c>
      <c r="B405" s="1">
        <v>24</v>
      </c>
      <c r="C405" s="1" t="s">
        <v>897</v>
      </c>
      <c r="D405" s="1" t="s">
        <v>1</v>
      </c>
      <c r="E405" s="1" t="s">
        <v>817</v>
      </c>
      <c r="F405" s="1" t="s">
        <v>145</v>
      </c>
      <c r="G405" s="11" t="str">
        <f>_xlfn.XLOOKUP(M405,'Code Catagories'!A:A,'Code Catagories'!C:C)</f>
        <v>4A. Rate Uncompetitive</v>
      </c>
      <c r="H405" s="1" t="s">
        <v>138</v>
      </c>
      <c r="I405" s="1" t="s">
        <v>241</v>
      </c>
      <c r="J405" s="1" t="s">
        <v>147</v>
      </c>
      <c r="K405" s="1" t="s">
        <v>148</v>
      </c>
      <c r="L405" s="10" t="s">
        <v>898</v>
      </c>
      <c r="M405" s="11" t="str">
        <f t="shared" si="23"/>
        <v>4A</v>
      </c>
      <c r="N405" s="1" t="str">
        <f t="shared" si="25"/>
        <v>006Rg00000bzpmfIAA</v>
      </c>
    </row>
    <row r="406" spans="1:14" x14ac:dyDescent="0.4">
      <c r="A406" s="1">
        <v>5</v>
      </c>
      <c r="B406" s="1">
        <v>24</v>
      </c>
      <c r="C406" s="1" t="s">
        <v>899</v>
      </c>
      <c r="D406" s="1" t="s">
        <v>1</v>
      </c>
      <c r="E406" s="1" t="s">
        <v>900</v>
      </c>
      <c r="F406" s="1" t="s">
        <v>134</v>
      </c>
      <c r="G406" s="11" t="e">
        <f>_xlfn.XLOOKUP(M406,'Code Catagories'!A:A,'Code Catagories'!C:C)</f>
        <v>#N/A</v>
      </c>
      <c r="H406" s="1" t="s">
        <v>134</v>
      </c>
      <c r="I406" s="1" t="s">
        <v>134</v>
      </c>
      <c r="J406" s="1" t="s">
        <v>134</v>
      </c>
      <c r="K406" s="1" t="s">
        <v>134</v>
      </c>
      <c r="L406" s="10" t="s">
        <v>135</v>
      </c>
      <c r="M406" s="11" t="str">
        <f t="shared" si="23"/>
        <v>—</v>
      </c>
      <c r="N406" s="1" t="str">
        <f t="shared" si="25"/>
        <v>006Rg00000c4claIAA</v>
      </c>
    </row>
    <row r="407" spans="1:14" ht="29.15" x14ac:dyDescent="0.4">
      <c r="A407" s="1">
        <v>5</v>
      </c>
      <c r="B407" s="1">
        <v>24</v>
      </c>
      <c r="C407" s="1" t="s">
        <v>901</v>
      </c>
      <c r="D407" s="1" t="s">
        <v>2</v>
      </c>
      <c r="E407" s="1" t="s">
        <v>895</v>
      </c>
      <c r="F407" s="1" t="s">
        <v>153</v>
      </c>
      <c r="G407" s="11" t="str">
        <f>_xlfn.XLOOKUP(M407,'Code Catagories'!A:A,'Code Catagories'!C:C)</f>
        <v>4E. Availability / Serviceability</v>
      </c>
      <c r="H407" s="1" t="s">
        <v>138</v>
      </c>
      <c r="I407" s="1" t="s">
        <v>175</v>
      </c>
      <c r="J407" s="1" t="s">
        <v>140</v>
      </c>
      <c r="K407" s="1" t="s">
        <v>141</v>
      </c>
      <c r="L407" s="10" t="s">
        <v>902</v>
      </c>
      <c r="M407" s="11" t="str">
        <f t="shared" si="23"/>
        <v>4E</v>
      </c>
      <c r="N407" s="1" t="str">
        <f t="shared" si="25"/>
        <v>006Rg00000c4d4vIAA</v>
      </c>
    </row>
    <row r="408" spans="1:14" x14ac:dyDescent="0.4">
      <c r="A408" s="1">
        <v>5</v>
      </c>
      <c r="B408" s="1">
        <v>24</v>
      </c>
      <c r="C408" s="1" t="s">
        <v>903</v>
      </c>
      <c r="D408" s="1" t="s">
        <v>1</v>
      </c>
      <c r="E408" s="1" t="s">
        <v>904</v>
      </c>
      <c r="F408" s="1" t="s">
        <v>134</v>
      </c>
      <c r="G408" s="11" t="e">
        <f>_xlfn.XLOOKUP(M408,'Code Catagories'!A:A,'Code Catagories'!C:C)</f>
        <v>#N/A</v>
      </c>
      <c r="H408" s="1" t="s">
        <v>134</v>
      </c>
      <c r="I408" s="1" t="s">
        <v>134</v>
      </c>
      <c r="J408" s="1" t="s">
        <v>134</v>
      </c>
      <c r="K408" s="1" t="s">
        <v>134</v>
      </c>
      <c r="L408" s="10" t="s">
        <v>135</v>
      </c>
      <c r="M408" s="11" t="str">
        <f t="shared" si="23"/>
        <v>—</v>
      </c>
      <c r="N408" s="1" t="str">
        <f t="shared" si="25"/>
        <v>006Rg00000c4gnZIAQ</v>
      </c>
    </row>
    <row r="409" spans="1:14" ht="29.15" x14ac:dyDescent="0.4">
      <c r="A409" s="1">
        <v>5</v>
      </c>
      <c r="B409" s="1">
        <v>24</v>
      </c>
      <c r="C409" s="1" t="s">
        <v>905</v>
      </c>
      <c r="D409" s="1" t="s">
        <v>2</v>
      </c>
      <c r="E409" s="1" t="s">
        <v>906</v>
      </c>
      <c r="F409" s="1" t="s">
        <v>137</v>
      </c>
      <c r="G409" s="11" t="str">
        <f>_xlfn.XLOOKUP(M409,'Code Catagories'!A:A,'Code Catagories'!C:C)</f>
        <v>4B. Ancillary Fees</v>
      </c>
      <c r="H409" s="1" t="s">
        <v>134</v>
      </c>
      <c r="I409" s="1" t="s">
        <v>892</v>
      </c>
      <c r="J409" s="1" t="s">
        <v>203</v>
      </c>
      <c r="K409" s="1" t="s">
        <v>148</v>
      </c>
      <c r="L409" s="10" t="s">
        <v>907</v>
      </c>
      <c r="M409" s="11" t="str">
        <f t="shared" ref="M409:M429" si="26">TRIM(F409)</f>
        <v>4B</v>
      </c>
      <c r="N409" s="1" t="str">
        <f t="shared" ref="N409:N410" si="27">TRIM(C409)</f>
        <v>006Rg00000c4MvKIAU</v>
      </c>
    </row>
    <row r="410" spans="1:14" x14ac:dyDescent="0.4">
      <c r="A410" s="1">
        <v>5</v>
      </c>
      <c r="B410" s="1">
        <v>24</v>
      </c>
      <c r="C410" s="1" t="s">
        <v>908</v>
      </c>
      <c r="D410" s="1" t="s">
        <v>1</v>
      </c>
      <c r="E410" s="1" t="s">
        <v>134</v>
      </c>
      <c r="F410" s="1" t="s">
        <v>134</v>
      </c>
      <c r="G410" s="11" t="e">
        <f>_xlfn.XLOOKUP(M410,'Code Catagories'!A:A,'Code Catagories'!C:C)</f>
        <v>#N/A</v>
      </c>
      <c r="H410" s="1" t="s">
        <v>134</v>
      </c>
      <c r="I410" s="1" t="s">
        <v>134</v>
      </c>
      <c r="J410" s="1" t="s">
        <v>134</v>
      </c>
      <c r="K410" s="1" t="s">
        <v>134</v>
      </c>
      <c r="L410" s="10" t="s">
        <v>135</v>
      </c>
      <c r="M410" s="11" t="str">
        <f t="shared" si="26"/>
        <v>—</v>
      </c>
      <c r="N410" s="1" t="str">
        <f t="shared" si="27"/>
        <v>006Rg00000c4sDeIAI</v>
      </c>
    </row>
    <row r="411" spans="1:14" ht="29.15" x14ac:dyDescent="0.4">
      <c r="A411" s="1">
        <v>5</v>
      </c>
      <c r="B411" s="1">
        <v>25</v>
      </c>
      <c r="C411" s="1" t="s">
        <v>909</v>
      </c>
      <c r="D411" s="1" t="s">
        <v>2</v>
      </c>
      <c r="E411" s="1" t="s">
        <v>910</v>
      </c>
      <c r="F411" s="1" t="s">
        <v>222</v>
      </c>
      <c r="G411" s="11" t="str">
        <f>_xlfn.XLOOKUP(M411,'Code Catagories'!A:A,'Code Catagories'!C:C)</f>
        <v>4C. Commercial Model</v>
      </c>
      <c r="H411" s="1" t="s">
        <v>134</v>
      </c>
      <c r="I411" s="1" t="s">
        <v>239</v>
      </c>
      <c r="J411" s="1" t="s">
        <v>203</v>
      </c>
      <c r="K411" s="1" t="s">
        <v>141</v>
      </c>
      <c r="L411" s="10" t="s">
        <v>911</v>
      </c>
      <c r="M411" s="11" t="str">
        <f t="shared" si="26"/>
        <v>4C</v>
      </c>
      <c r="N411" s="1" t="str">
        <f t="shared" ref="N411:N429" si="28">TRIM(C411)</f>
        <v>006Rg00000c4wSYIAY</v>
      </c>
    </row>
    <row r="412" spans="1:14" ht="29.15" x14ac:dyDescent="0.4">
      <c r="A412" s="1">
        <v>5</v>
      </c>
      <c r="B412" s="1">
        <v>25</v>
      </c>
      <c r="C412" s="1" t="s">
        <v>909</v>
      </c>
      <c r="D412" s="1" t="s">
        <v>2</v>
      </c>
      <c r="E412" s="1" t="s">
        <v>910</v>
      </c>
      <c r="F412" s="1" t="s">
        <v>153</v>
      </c>
      <c r="G412" s="11" t="str">
        <f>_xlfn.XLOOKUP(M412,'Code Catagories'!A:A,'Code Catagories'!C:C)</f>
        <v>4E. Availability / Serviceability</v>
      </c>
      <c r="H412" s="1" t="s">
        <v>134</v>
      </c>
      <c r="I412" s="1" t="s">
        <v>154</v>
      </c>
      <c r="J412" s="1" t="s">
        <v>203</v>
      </c>
      <c r="K412" s="1" t="s">
        <v>141</v>
      </c>
      <c r="L412" s="10" t="s">
        <v>912</v>
      </c>
      <c r="M412" s="11" t="str">
        <f t="shared" si="26"/>
        <v>4E</v>
      </c>
      <c r="N412" s="1" t="str">
        <f t="shared" si="28"/>
        <v>006Rg00000c4wSYIAY</v>
      </c>
    </row>
    <row r="413" spans="1:14" x14ac:dyDescent="0.4">
      <c r="A413" s="1">
        <v>5</v>
      </c>
      <c r="B413" s="1">
        <v>25</v>
      </c>
      <c r="C413" s="1" t="s">
        <v>913</v>
      </c>
      <c r="D413" s="1" t="s">
        <v>2</v>
      </c>
      <c r="E413" s="1" t="s">
        <v>418</v>
      </c>
      <c r="F413" s="1" t="s">
        <v>134</v>
      </c>
      <c r="G413" s="11" t="e">
        <f>_xlfn.XLOOKUP(M413,'Code Catagories'!A:A,'Code Catagories'!C:C)</f>
        <v>#N/A</v>
      </c>
      <c r="H413" s="1" t="s">
        <v>134</v>
      </c>
      <c r="I413" s="1" t="s">
        <v>134</v>
      </c>
      <c r="J413" s="1" t="s">
        <v>134</v>
      </c>
      <c r="K413" s="1" t="s">
        <v>134</v>
      </c>
      <c r="L413" s="10" t="s">
        <v>135</v>
      </c>
      <c r="M413" s="11" t="str">
        <f t="shared" si="26"/>
        <v>—</v>
      </c>
      <c r="N413" s="1" t="str">
        <f t="shared" si="28"/>
        <v>006Rg00000c5e5NIAQ</v>
      </c>
    </row>
    <row r="414" spans="1:14" ht="43.75" x14ac:dyDescent="0.4">
      <c r="A414" s="1">
        <v>5</v>
      </c>
      <c r="B414" s="1">
        <v>25</v>
      </c>
      <c r="C414" s="1" t="s">
        <v>914</v>
      </c>
      <c r="D414" s="1" t="s">
        <v>2</v>
      </c>
      <c r="E414" s="1" t="s">
        <v>915</v>
      </c>
      <c r="F414" s="1" t="s">
        <v>137</v>
      </c>
      <c r="G414" s="11" t="str">
        <f>_xlfn.XLOOKUP(M414,'Code Catagories'!A:A,'Code Catagories'!C:C)</f>
        <v>4B. Ancillary Fees</v>
      </c>
      <c r="H414" s="1" t="s">
        <v>134</v>
      </c>
      <c r="I414" s="1" t="s">
        <v>139</v>
      </c>
      <c r="J414" s="1" t="s">
        <v>203</v>
      </c>
      <c r="K414" s="1" t="s">
        <v>141</v>
      </c>
      <c r="L414" s="10" t="s">
        <v>916</v>
      </c>
      <c r="M414" s="11" t="str">
        <f t="shared" si="26"/>
        <v>4B</v>
      </c>
      <c r="N414" s="1" t="str">
        <f t="shared" si="28"/>
        <v>006Rg00000c5ik5IAA</v>
      </c>
    </row>
    <row r="415" spans="1:14" ht="29.15" x14ac:dyDescent="0.4">
      <c r="A415" s="1">
        <v>5</v>
      </c>
      <c r="B415" s="1">
        <v>25</v>
      </c>
      <c r="C415" s="1" t="s">
        <v>914</v>
      </c>
      <c r="D415" s="1" t="s">
        <v>2</v>
      </c>
      <c r="E415" s="1" t="s">
        <v>915</v>
      </c>
      <c r="F415" s="1" t="s">
        <v>192</v>
      </c>
      <c r="G415" s="11" t="str">
        <f>_xlfn.XLOOKUP(M415,'Code Catagories'!A:A,'Code Catagories'!C:C)</f>
        <v>4D. Contract Mechanics</v>
      </c>
      <c r="H415" s="1" t="s">
        <v>134</v>
      </c>
      <c r="I415" s="1" t="s">
        <v>279</v>
      </c>
      <c r="J415" s="1" t="s">
        <v>203</v>
      </c>
      <c r="K415" s="1" t="s">
        <v>141</v>
      </c>
      <c r="L415" s="10" t="s">
        <v>917</v>
      </c>
      <c r="M415" s="11" t="str">
        <f t="shared" si="26"/>
        <v>4D</v>
      </c>
      <c r="N415" s="1" t="str">
        <f t="shared" si="28"/>
        <v>006Rg00000c5ik5IAA</v>
      </c>
    </row>
    <row r="416" spans="1:14" ht="29.15" x14ac:dyDescent="0.4">
      <c r="A416" s="1">
        <v>5</v>
      </c>
      <c r="B416" s="1">
        <v>25</v>
      </c>
      <c r="C416" s="1" t="s">
        <v>918</v>
      </c>
      <c r="D416" s="1" t="s">
        <v>1</v>
      </c>
      <c r="E416" s="1" t="s">
        <v>919</v>
      </c>
      <c r="F416" s="1" t="s">
        <v>137</v>
      </c>
      <c r="G416" s="11" t="str">
        <f>_xlfn.XLOOKUP(M416,'Code Catagories'!A:A,'Code Catagories'!C:C)</f>
        <v>4B. Ancillary Fees</v>
      </c>
      <c r="H416" s="1" t="s">
        <v>138</v>
      </c>
      <c r="I416" s="1" t="s">
        <v>247</v>
      </c>
      <c r="J416" s="1" t="s">
        <v>147</v>
      </c>
      <c r="K416" s="1" t="s">
        <v>148</v>
      </c>
      <c r="L416" s="10" t="s">
        <v>920</v>
      </c>
      <c r="M416" s="11" t="str">
        <f t="shared" si="26"/>
        <v>4B</v>
      </c>
      <c r="N416" s="1" t="str">
        <f t="shared" si="28"/>
        <v>006Rg00000c6PSTIA2</v>
      </c>
    </row>
    <row r="417" spans="1:14" x14ac:dyDescent="0.4">
      <c r="A417" s="1">
        <v>5</v>
      </c>
      <c r="B417" s="1">
        <v>25</v>
      </c>
      <c r="C417" s="1" t="s">
        <v>921</v>
      </c>
      <c r="D417" s="1" t="s">
        <v>1</v>
      </c>
      <c r="E417" s="1" t="s">
        <v>922</v>
      </c>
      <c r="F417" s="1" t="s">
        <v>134</v>
      </c>
      <c r="G417" s="11" t="e">
        <f>_xlfn.XLOOKUP(M417,'Code Catagories'!A:A,'Code Catagories'!C:C)</f>
        <v>#N/A</v>
      </c>
      <c r="H417" s="1" t="s">
        <v>134</v>
      </c>
      <c r="I417" s="1" t="s">
        <v>134</v>
      </c>
      <c r="J417" s="1" t="s">
        <v>134</v>
      </c>
      <c r="K417" s="1" t="s">
        <v>134</v>
      </c>
      <c r="L417" s="10" t="s">
        <v>135</v>
      </c>
      <c r="M417" s="11" t="str">
        <f t="shared" si="26"/>
        <v>—</v>
      </c>
      <c r="N417" s="1" t="str">
        <f t="shared" si="28"/>
        <v>006Rg00000c7b4zIAA</v>
      </c>
    </row>
    <row r="418" spans="1:14" x14ac:dyDescent="0.4">
      <c r="A418" s="1">
        <v>5</v>
      </c>
      <c r="B418" s="1">
        <v>25</v>
      </c>
      <c r="C418" s="1" t="s">
        <v>923</v>
      </c>
      <c r="D418" s="1" t="s">
        <v>1</v>
      </c>
      <c r="E418" s="1" t="s">
        <v>924</v>
      </c>
      <c r="F418" s="1" t="s">
        <v>134</v>
      </c>
      <c r="G418" s="11" t="e">
        <f>_xlfn.XLOOKUP(M418,'Code Catagories'!A:A,'Code Catagories'!C:C)</f>
        <v>#N/A</v>
      </c>
      <c r="H418" s="1" t="s">
        <v>134</v>
      </c>
      <c r="I418" s="1" t="s">
        <v>134</v>
      </c>
      <c r="J418" s="1" t="s">
        <v>134</v>
      </c>
      <c r="K418" s="1" t="s">
        <v>134</v>
      </c>
      <c r="L418" s="10" t="s">
        <v>135</v>
      </c>
      <c r="M418" s="11" t="str">
        <f t="shared" si="26"/>
        <v>—</v>
      </c>
      <c r="N418" s="1" t="str">
        <f t="shared" si="28"/>
        <v>006Rg00000c7nZDIAY</v>
      </c>
    </row>
    <row r="419" spans="1:14" ht="29.15" x14ac:dyDescent="0.4">
      <c r="A419" s="1">
        <v>5</v>
      </c>
      <c r="B419" s="1">
        <v>25</v>
      </c>
      <c r="C419" s="1" t="s">
        <v>925</v>
      </c>
      <c r="D419" s="1" t="s">
        <v>1</v>
      </c>
      <c r="E419" s="1" t="s">
        <v>926</v>
      </c>
      <c r="F419" s="1" t="s">
        <v>222</v>
      </c>
      <c r="G419" s="11" t="str">
        <f>_xlfn.XLOOKUP(M419,'Code Catagories'!A:A,'Code Catagories'!C:C)</f>
        <v>4C. Commercial Model</v>
      </c>
      <c r="H419" s="1" t="s">
        <v>138</v>
      </c>
      <c r="I419" s="1" t="s">
        <v>223</v>
      </c>
      <c r="J419" s="1" t="s">
        <v>147</v>
      </c>
      <c r="K419" s="1" t="s">
        <v>148</v>
      </c>
      <c r="L419" s="10" t="s">
        <v>927</v>
      </c>
      <c r="M419" s="11" t="str">
        <f t="shared" si="26"/>
        <v>4C</v>
      </c>
      <c r="N419" s="1" t="str">
        <f t="shared" si="28"/>
        <v>006Rg00000c7p9ZIAQ</v>
      </c>
    </row>
    <row r="420" spans="1:14" x14ac:dyDescent="0.4">
      <c r="A420" s="1">
        <v>5</v>
      </c>
      <c r="B420" s="1">
        <v>25</v>
      </c>
      <c r="C420" s="1" t="s">
        <v>928</v>
      </c>
      <c r="D420" s="1" t="s">
        <v>2</v>
      </c>
      <c r="E420" s="1" t="s">
        <v>929</v>
      </c>
      <c r="F420" s="1" t="s">
        <v>134</v>
      </c>
      <c r="G420" s="11" t="e">
        <f>_xlfn.XLOOKUP(M420,'Code Catagories'!A:A,'Code Catagories'!C:C)</f>
        <v>#N/A</v>
      </c>
      <c r="H420" s="1" t="s">
        <v>134</v>
      </c>
      <c r="I420" s="1" t="s">
        <v>134</v>
      </c>
      <c r="J420" s="1" t="s">
        <v>134</v>
      </c>
      <c r="K420" s="1" t="s">
        <v>134</v>
      </c>
      <c r="L420" s="10" t="s">
        <v>135</v>
      </c>
      <c r="M420" s="11" t="str">
        <f t="shared" si="26"/>
        <v>—</v>
      </c>
      <c r="N420" s="1" t="str">
        <f t="shared" si="28"/>
        <v>006Rg00000c7RDpIAM</v>
      </c>
    </row>
    <row r="421" spans="1:14" x14ac:dyDescent="0.4">
      <c r="A421" s="1">
        <v>5</v>
      </c>
      <c r="B421" s="1">
        <v>25</v>
      </c>
      <c r="C421" s="1" t="s">
        <v>930</v>
      </c>
      <c r="D421" s="1" t="s">
        <v>2</v>
      </c>
      <c r="E421" s="1" t="s">
        <v>931</v>
      </c>
      <c r="F421" s="1" t="s">
        <v>134</v>
      </c>
      <c r="G421" s="11" t="e">
        <f>_xlfn.XLOOKUP(M421,'Code Catagories'!A:A,'Code Catagories'!C:C)</f>
        <v>#N/A</v>
      </c>
      <c r="H421" s="1" t="s">
        <v>134</v>
      </c>
      <c r="I421" s="1" t="s">
        <v>134</v>
      </c>
      <c r="J421" s="1" t="s">
        <v>134</v>
      </c>
      <c r="K421" s="1" t="s">
        <v>134</v>
      </c>
      <c r="L421" s="10" t="s">
        <v>135</v>
      </c>
      <c r="M421" s="11" t="str">
        <f t="shared" si="26"/>
        <v>—</v>
      </c>
      <c r="N421" s="1" t="str">
        <f t="shared" si="28"/>
        <v>006Rg00000c7SYDIA2</v>
      </c>
    </row>
    <row r="422" spans="1:14" x14ac:dyDescent="0.4">
      <c r="A422" s="1">
        <v>5</v>
      </c>
      <c r="B422" s="1">
        <v>25</v>
      </c>
      <c r="C422" s="1" t="s">
        <v>932</v>
      </c>
      <c r="D422" s="1" t="s">
        <v>1</v>
      </c>
      <c r="E422" s="1" t="s">
        <v>933</v>
      </c>
      <c r="F422" s="1" t="s">
        <v>134</v>
      </c>
      <c r="G422" s="11" t="e">
        <f>_xlfn.XLOOKUP(M422,'Code Catagories'!A:A,'Code Catagories'!C:C)</f>
        <v>#N/A</v>
      </c>
      <c r="H422" s="1" t="s">
        <v>134</v>
      </c>
      <c r="I422" s="1" t="s">
        <v>134</v>
      </c>
      <c r="J422" s="1" t="s">
        <v>134</v>
      </c>
      <c r="K422" s="1" t="s">
        <v>134</v>
      </c>
      <c r="L422" s="10" t="s">
        <v>135</v>
      </c>
      <c r="M422" s="11" t="str">
        <f t="shared" si="26"/>
        <v>—</v>
      </c>
      <c r="N422" s="1" t="str">
        <f t="shared" si="28"/>
        <v>006Rg00000c7YS5IAM</v>
      </c>
    </row>
    <row r="423" spans="1:14" x14ac:dyDescent="0.4">
      <c r="A423" s="1">
        <v>5</v>
      </c>
      <c r="B423" s="1">
        <v>25</v>
      </c>
      <c r="C423" s="1" t="s">
        <v>934</v>
      </c>
      <c r="D423" s="1" t="s">
        <v>2</v>
      </c>
      <c r="E423" s="1" t="s">
        <v>134</v>
      </c>
      <c r="F423" s="1" t="s">
        <v>134</v>
      </c>
      <c r="G423" s="11" t="e">
        <f>_xlfn.XLOOKUP(M423,'Code Catagories'!A:A,'Code Catagories'!C:C)</f>
        <v>#N/A</v>
      </c>
      <c r="H423" s="1" t="s">
        <v>134</v>
      </c>
      <c r="I423" s="1" t="s">
        <v>134</v>
      </c>
      <c r="J423" s="1" t="s">
        <v>134</v>
      </c>
      <c r="K423" s="1" t="s">
        <v>134</v>
      </c>
      <c r="L423" s="10" t="s">
        <v>135</v>
      </c>
      <c r="M423" s="11" t="str">
        <f t="shared" si="26"/>
        <v>—</v>
      </c>
      <c r="N423" s="1" t="str">
        <f t="shared" si="28"/>
        <v>006Rg00000c8dw0IAA</v>
      </c>
    </row>
    <row r="424" spans="1:14" x14ac:dyDescent="0.4">
      <c r="A424" s="1">
        <v>5</v>
      </c>
      <c r="B424" s="1">
        <v>25</v>
      </c>
      <c r="C424" s="1" t="s">
        <v>935</v>
      </c>
      <c r="D424" s="1" t="s">
        <v>2</v>
      </c>
      <c r="E424" s="1" t="s">
        <v>936</v>
      </c>
      <c r="F424" s="1" t="s">
        <v>134</v>
      </c>
      <c r="G424" s="11" t="e">
        <f>_xlfn.XLOOKUP(M424,'Code Catagories'!A:A,'Code Catagories'!C:C)</f>
        <v>#N/A</v>
      </c>
      <c r="H424" s="1" t="s">
        <v>134</v>
      </c>
      <c r="I424" s="1" t="s">
        <v>134</v>
      </c>
      <c r="J424" s="1" t="s">
        <v>134</v>
      </c>
      <c r="K424" s="1" t="s">
        <v>134</v>
      </c>
      <c r="L424" s="10" t="s">
        <v>135</v>
      </c>
      <c r="M424" s="11" t="str">
        <f t="shared" si="26"/>
        <v>—</v>
      </c>
      <c r="N424" s="1" t="str">
        <f t="shared" si="28"/>
        <v>006Rg00000c8j5JIAQ</v>
      </c>
    </row>
    <row r="425" spans="1:14" x14ac:dyDescent="0.4">
      <c r="A425" s="1">
        <v>5</v>
      </c>
      <c r="B425" s="1">
        <v>25</v>
      </c>
      <c r="C425" s="1" t="s">
        <v>937</v>
      </c>
      <c r="D425" s="1" t="s">
        <v>1</v>
      </c>
      <c r="E425" s="1" t="s">
        <v>134</v>
      </c>
      <c r="F425" s="1" t="s">
        <v>134</v>
      </c>
      <c r="G425" s="11" t="e">
        <f>_xlfn.XLOOKUP(M425,'Code Catagories'!A:A,'Code Catagories'!C:C)</f>
        <v>#N/A</v>
      </c>
      <c r="H425" s="1" t="s">
        <v>134</v>
      </c>
      <c r="I425" s="1" t="s">
        <v>134</v>
      </c>
      <c r="J425" s="1" t="s">
        <v>134</v>
      </c>
      <c r="K425" s="1" t="s">
        <v>134</v>
      </c>
      <c r="L425" s="10" t="s">
        <v>135</v>
      </c>
      <c r="M425" s="11" t="str">
        <f t="shared" si="26"/>
        <v>—</v>
      </c>
      <c r="N425" s="1" t="str">
        <f t="shared" si="28"/>
        <v>006Rg00000c8k9ZIAQ</v>
      </c>
    </row>
    <row r="426" spans="1:14" ht="43.75" x14ac:dyDescent="0.4">
      <c r="A426" s="1">
        <v>5</v>
      </c>
      <c r="B426" s="1">
        <v>25</v>
      </c>
      <c r="C426" s="1" t="s">
        <v>938</v>
      </c>
      <c r="D426" s="1" t="s">
        <v>1</v>
      </c>
      <c r="E426" s="1" t="s">
        <v>855</v>
      </c>
      <c r="F426" s="1" t="s">
        <v>192</v>
      </c>
      <c r="G426" s="11" t="str">
        <f>_xlfn.XLOOKUP(M426,'Code Catagories'!A:A,'Code Catagories'!C:C)</f>
        <v>4D. Contract Mechanics</v>
      </c>
      <c r="H426" s="1" t="s">
        <v>138</v>
      </c>
      <c r="I426" s="1" t="s">
        <v>279</v>
      </c>
      <c r="J426" s="1" t="s">
        <v>147</v>
      </c>
      <c r="K426" s="1" t="s">
        <v>148</v>
      </c>
      <c r="L426" s="10" t="s">
        <v>939</v>
      </c>
      <c r="M426" s="11" t="str">
        <f t="shared" si="26"/>
        <v>4D</v>
      </c>
      <c r="N426" s="1" t="str">
        <f t="shared" si="28"/>
        <v>006Rg00000c8PjJIAU</v>
      </c>
    </row>
    <row r="427" spans="1:14" ht="29.15" x14ac:dyDescent="0.4">
      <c r="A427" s="1">
        <v>5</v>
      </c>
      <c r="B427" s="1">
        <v>25</v>
      </c>
      <c r="C427" s="1" t="s">
        <v>938</v>
      </c>
      <c r="D427" s="1" t="s">
        <v>1</v>
      </c>
      <c r="E427" s="1" t="s">
        <v>855</v>
      </c>
      <c r="F427" s="1" t="s">
        <v>137</v>
      </c>
      <c r="G427" s="11" t="str">
        <f>_xlfn.XLOOKUP(M427,'Code Catagories'!A:A,'Code Catagories'!C:C)</f>
        <v>4B. Ancillary Fees</v>
      </c>
      <c r="H427" s="1" t="s">
        <v>134</v>
      </c>
      <c r="I427" s="1" t="s">
        <v>139</v>
      </c>
      <c r="J427" s="1" t="s">
        <v>147</v>
      </c>
      <c r="K427" s="1" t="s">
        <v>148</v>
      </c>
      <c r="L427" s="10" t="s">
        <v>940</v>
      </c>
      <c r="M427" s="11" t="str">
        <f t="shared" si="26"/>
        <v>4B</v>
      </c>
      <c r="N427" s="1" t="str">
        <f t="shared" si="28"/>
        <v>006Rg00000c8PjJIAU</v>
      </c>
    </row>
    <row r="428" spans="1:14" x14ac:dyDescent="0.4">
      <c r="A428" s="1">
        <v>5</v>
      </c>
      <c r="B428" s="1">
        <v>25</v>
      </c>
      <c r="C428" s="1" t="s">
        <v>941</v>
      </c>
      <c r="D428" s="1" t="s">
        <v>2</v>
      </c>
      <c r="E428" s="1" t="s">
        <v>879</v>
      </c>
      <c r="F428" s="1" t="s">
        <v>134</v>
      </c>
      <c r="G428" s="11" t="e">
        <f>_xlfn.XLOOKUP(M428,'Code Catagories'!A:A,'Code Catagories'!C:C)</f>
        <v>#N/A</v>
      </c>
      <c r="H428" s="1" t="s">
        <v>134</v>
      </c>
      <c r="I428" s="1" t="s">
        <v>134</v>
      </c>
      <c r="J428" s="1" t="s">
        <v>134</v>
      </c>
      <c r="K428" s="1" t="s">
        <v>134</v>
      </c>
      <c r="L428" s="10" t="s">
        <v>135</v>
      </c>
      <c r="M428" s="11" t="str">
        <f t="shared" si="26"/>
        <v>—</v>
      </c>
      <c r="N428" s="1" t="str">
        <f t="shared" si="28"/>
        <v>006Rg00000c8rpPIAQ</v>
      </c>
    </row>
    <row r="429" spans="1:14" ht="43.75" x14ac:dyDescent="0.4">
      <c r="A429" s="1">
        <v>5</v>
      </c>
      <c r="B429" s="1">
        <v>25</v>
      </c>
      <c r="C429" s="1" t="s">
        <v>942</v>
      </c>
      <c r="D429" s="1" t="s">
        <v>1</v>
      </c>
      <c r="E429" s="1" t="s">
        <v>943</v>
      </c>
      <c r="F429" s="1" t="s">
        <v>222</v>
      </c>
      <c r="G429" s="11" t="str">
        <f>_xlfn.XLOOKUP(M429,'Code Catagories'!A:A,'Code Catagories'!C:C)</f>
        <v>4C. Commercial Model</v>
      </c>
      <c r="H429" s="1" t="s">
        <v>134</v>
      </c>
      <c r="I429" s="1" t="s">
        <v>223</v>
      </c>
      <c r="J429" s="1" t="s">
        <v>245</v>
      </c>
      <c r="K429" s="1" t="s">
        <v>141</v>
      </c>
      <c r="L429" s="10" t="s">
        <v>944</v>
      </c>
      <c r="M429" s="11" t="str">
        <f t="shared" si="26"/>
        <v>4C</v>
      </c>
      <c r="N429" s="1" t="str">
        <f t="shared" si="28"/>
        <v>006Rg00000c8x3SIAQ</v>
      </c>
    </row>
    <row r="430" spans="1:14" x14ac:dyDescent="0.4">
      <c r="A430" s="1">
        <v>5</v>
      </c>
      <c r="B430" s="1">
        <v>26</v>
      </c>
      <c r="C430" s="1" t="s">
        <v>945</v>
      </c>
      <c r="D430" s="1" t="s">
        <v>1</v>
      </c>
      <c r="E430" s="1" t="s">
        <v>946</v>
      </c>
      <c r="F430" s="1" t="s">
        <v>134</v>
      </c>
      <c r="G430" s="11" t="e">
        <f>_xlfn.XLOOKUP(M430,'Code Catagories'!A:A,'Code Catagories'!C:C)</f>
        <v>#N/A</v>
      </c>
      <c r="H430" s="1" t="s">
        <v>134</v>
      </c>
      <c r="I430" s="1" t="s">
        <v>134</v>
      </c>
      <c r="J430" s="1" t="s">
        <v>134</v>
      </c>
      <c r="K430" s="1" t="s">
        <v>134</v>
      </c>
      <c r="L430" s="10" t="s">
        <v>135</v>
      </c>
      <c r="M430" s="11" t="str">
        <f t="shared" ref="M430:M469" si="29">TRIM(F430)</f>
        <v>—</v>
      </c>
      <c r="N430" s="1" t="str">
        <f t="shared" ref="N430:N469" si="30">TRIM(C430)</f>
        <v>006Rg00000c9Nh3IAE</v>
      </c>
    </row>
    <row r="431" spans="1:14" x14ac:dyDescent="0.4">
      <c r="A431" s="1">
        <v>5</v>
      </c>
      <c r="B431" s="1">
        <v>26</v>
      </c>
      <c r="C431" s="1" t="s">
        <v>947</v>
      </c>
      <c r="D431" s="1" t="s">
        <v>1</v>
      </c>
      <c r="E431" s="1" t="s">
        <v>134</v>
      </c>
      <c r="F431" s="1" t="s">
        <v>134</v>
      </c>
      <c r="G431" s="11" t="e">
        <f>_xlfn.XLOOKUP(M431,'Code Catagories'!A:A,'Code Catagories'!C:C)</f>
        <v>#N/A</v>
      </c>
      <c r="H431" s="1" t="s">
        <v>134</v>
      </c>
      <c r="I431" s="1" t="s">
        <v>134</v>
      </c>
      <c r="J431" s="1" t="s">
        <v>134</v>
      </c>
      <c r="K431" s="1" t="s">
        <v>134</v>
      </c>
      <c r="L431" s="10" t="s">
        <v>135</v>
      </c>
      <c r="M431" s="11" t="str">
        <f t="shared" si="29"/>
        <v>—</v>
      </c>
      <c r="N431" s="1" t="str">
        <f t="shared" si="30"/>
        <v>006Rg00000c92eMIAQ</v>
      </c>
    </row>
    <row r="432" spans="1:14" x14ac:dyDescent="0.4">
      <c r="A432" s="1">
        <v>5</v>
      </c>
      <c r="B432" s="1">
        <v>26</v>
      </c>
      <c r="C432" s="1" t="s">
        <v>948</v>
      </c>
      <c r="D432" s="1" t="s">
        <v>1</v>
      </c>
      <c r="E432" s="1" t="s">
        <v>134</v>
      </c>
      <c r="F432" s="1" t="s">
        <v>134</v>
      </c>
      <c r="G432" s="11" t="e">
        <f>_xlfn.XLOOKUP(M432,'Code Catagories'!A:A,'Code Catagories'!C:C)</f>
        <v>#N/A</v>
      </c>
      <c r="H432" s="1" t="s">
        <v>134</v>
      </c>
      <c r="I432" s="1" t="s">
        <v>134</v>
      </c>
      <c r="J432" s="1" t="s">
        <v>134</v>
      </c>
      <c r="K432" s="1" t="s">
        <v>134</v>
      </c>
      <c r="L432" s="10" t="s">
        <v>135</v>
      </c>
      <c r="M432" s="11" t="str">
        <f t="shared" si="29"/>
        <v>—</v>
      </c>
      <c r="N432" s="1" t="str">
        <f t="shared" si="30"/>
        <v>006Rg00000caha1IAA</v>
      </c>
    </row>
    <row r="433" spans="1:14" ht="29.15" x14ac:dyDescent="0.4">
      <c r="A433" s="1">
        <v>5</v>
      </c>
      <c r="B433" s="1">
        <v>26</v>
      </c>
      <c r="C433" s="1" t="s">
        <v>949</v>
      </c>
      <c r="D433" s="1" t="s">
        <v>1</v>
      </c>
      <c r="E433" s="1" t="s">
        <v>950</v>
      </c>
      <c r="F433" s="1" t="s">
        <v>137</v>
      </c>
      <c r="G433" s="11" t="str">
        <f>_xlfn.XLOOKUP(M433,'Code Catagories'!A:A,'Code Catagories'!C:C)</f>
        <v>4B. Ancillary Fees</v>
      </c>
      <c r="H433" s="1" t="s">
        <v>951</v>
      </c>
      <c r="I433" s="1" t="s">
        <v>228</v>
      </c>
      <c r="J433" s="1" t="s">
        <v>140</v>
      </c>
      <c r="K433" s="1" t="s">
        <v>148</v>
      </c>
      <c r="L433" s="10" t="s">
        <v>952</v>
      </c>
      <c r="M433" s="11" t="str">
        <f t="shared" si="29"/>
        <v>4B</v>
      </c>
      <c r="N433" s="1" t="str">
        <f t="shared" si="30"/>
        <v>006Rg00000caiZKIAY</v>
      </c>
    </row>
    <row r="434" spans="1:14" ht="29.15" x14ac:dyDescent="0.4">
      <c r="A434" s="1">
        <v>5</v>
      </c>
      <c r="B434" s="1">
        <v>26</v>
      </c>
      <c r="C434" s="1" t="s">
        <v>949</v>
      </c>
      <c r="D434" s="1" t="s">
        <v>1</v>
      </c>
      <c r="E434" s="1" t="s">
        <v>950</v>
      </c>
      <c r="F434" s="1" t="s">
        <v>137</v>
      </c>
      <c r="G434" s="11" t="str">
        <f>_xlfn.XLOOKUP(M434,'Code Catagories'!A:A,'Code Catagories'!C:C)</f>
        <v>4B. Ancillary Fees</v>
      </c>
      <c r="H434" s="1" t="s">
        <v>951</v>
      </c>
      <c r="I434" s="1" t="s">
        <v>139</v>
      </c>
      <c r="J434" s="1" t="s">
        <v>140</v>
      </c>
      <c r="K434" s="1" t="s">
        <v>148</v>
      </c>
      <c r="L434" s="10" t="s">
        <v>953</v>
      </c>
      <c r="M434" s="11" t="str">
        <f t="shared" si="29"/>
        <v>4B</v>
      </c>
      <c r="N434" s="1" t="str">
        <f t="shared" si="30"/>
        <v>006Rg00000caiZKIAY</v>
      </c>
    </row>
    <row r="435" spans="1:14" ht="29.15" x14ac:dyDescent="0.4">
      <c r="A435" s="1">
        <v>5</v>
      </c>
      <c r="B435" s="1">
        <v>26</v>
      </c>
      <c r="C435" s="1" t="s">
        <v>949</v>
      </c>
      <c r="D435" s="1" t="s">
        <v>1</v>
      </c>
      <c r="E435" s="1" t="s">
        <v>950</v>
      </c>
      <c r="F435" s="1" t="s">
        <v>137</v>
      </c>
      <c r="G435" s="11" t="str">
        <f>_xlfn.XLOOKUP(M435,'Code Catagories'!A:A,'Code Catagories'!C:C)</f>
        <v>4B. Ancillary Fees</v>
      </c>
      <c r="H435" s="1" t="s">
        <v>138</v>
      </c>
      <c r="I435" s="1" t="s">
        <v>514</v>
      </c>
      <c r="J435" s="1" t="s">
        <v>147</v>
      </c>
      <c r="K435" s="1" t="s">
        <v>148</v>
      </c>
      <c r="L435" s="10" t="s">
        <v>954</v>
      </c>
      <c r="M435" s="11" t="str">
        <f t="shared" si="29"/>
        <v>4B</v>
      </c>
      <c r="N435" s="1" t="str">
        <f t="shared" si="30"/>
        <v>006Rg00000caiZKIAY</v>
      </c>
    </row>
    <row r="436" spans="1:14" ht="29.15" x14ac:dyDescent="0.4">
      <c r="A436" s="1">
        <v>5</v>
      </c>
      <c r="B436" s="1">
        <v>26</v>
      </c>
      <c r="C436" s="1" t="s">
        <v>949</v>
      </c>
      <c r="D436" s="1" t="s">
        <v>1</v>
      </c>
      <c r="E436" s="1" t="s">
        <v>950</v>
      </c>
      <c r="F436" s="1" t="s">
        <v>222</v>
      </c>
      <c r="G436" s="11" t="str">
        <f>_xlfn.XLOOKUP(M436,'Code Catagories'!A:A,'Code Catagories'!C:C)</f>
        <v>4C. Commercial Model</v>
      </c>
      <c r="H436" s="1" t="s">
        <v>134</v>
      </c>
      <c r="I436" s="1" t="s">
        <v>223</v>
      </c>
      <c r="J436" s="1" t="s">
        <v>203</v>
      </c>
      <c r="K436" s="1" t="s">
        <v>141</v>
      </c>
      <c r="L436" s="10" t="s">
        <v>955</v>
      </c>
      <c r="M436" s="11" t="str">
        <f t="shared" si="29"/>
        <v>4C</v>
      </c>
      <c r="N436" s="1" t="str">
        <f t="shared" si="30"/>
        <v>006Rg00000caiZKIAY</v>
      </c>
    </row>
    <row r="437" spans="1:14" ht="29.15" x14ac:dyDescent="0.4">
      <c r="A437" s="1">
        <v>5</v>
      </c>
      <c r="B437" s="1">
        <v>26</v>
      </c>
      <c r="C437" s="1" t="s">
        <v>956</v>
      </c>
      <c r="D437" s="1" t="s">
        <v>2</v>
      </c>
      <c r="E437" s="1" t="s">
        <v>726</v>
      </c>
      <c r="F437" s="1" t="s">
        <v>153</v>
      </c>
      <c r="G437" s="11" t="str">
        <f>_xlfn.XLOOKUP(M437,'Code Catagories'!A:A,'Code Catagories'!C:C)</f>
        <v>4E. Availability / Serviceability</v>
      </c>
      <c r="H437" s="1" t="s">
        <v>134</v>
      </c>
      <c r="I437" s="1" t="s">
        <v>236</v>
      </c>
      <c r="J437" s="1" t="s">
        <v>203</v>
      </c>
      <c r="K437" s="1" t="s">
        <v>148</v>
      </c>
      <c r="L437" s="10" t="s">
        <v>957</v>
      </c>
      <c r="M437" s="11" t="str">
        <f t="shared" si="29"/>
        <v>4E</v>
      </c>
      <c r="N437" s="1" t="str">
        <f t="shared" si="30"/>
        <v>006Rg00000cAp1mIAC</v>
      </c>
    </row>
    <row r="438" spans="1:14" ht="29.15" x14ac:dyDescent="0.4">
      <c r="A438" s="1">
        <v>5</v>
      </c>
      <c r="B438" s="1">
        <v>26</v>
      </c>
      <c r="C438" s="1" t="s">
        <v>956</v>
      </c>
      <c r="D438" s="1" t="s">
        <v>2</v>
      </c>
      <c r="E438" s="1" t="s">
        <v>726</v>
      </c>
      <c r="F438" s="1" t="s">
        <v>192</v>
      </c>
      <c r="G438" s="11" t="str">
        <f>_xlfn.XLOOKUP(M438,'Code Catagories'!A:A,'Code Catagories'!C:C)</f>
        <v>4D. Contract Mechanics</v>
      </c>
      <c r="H438" s="1" t="s">
        <v>134</v>
      </c>
      <c r="I438" s="1" t="s">
        <v>240</v>
      </c>
      <c r="J438" s="1" t="s">
        <v>224</v>
      </c>
      <c r="K438" s="1" t="s">
        <v>148</v>
      </c>
      <c r="L438" s="10" t="s">
        <v>958</v>
      </c>
      <c r="M438" s="11" t="str">
        <f t="shared" si="29"/>
        <v>4D</v>
      </c>
      <c r="N438" s="1" t="str">
        <f t="shared" si="30"/>
        <v>006Rg00000cAp1mIAC</v>
      </c>
    </row>
    <row r="439" spans="1:14" ht="29.15" x14ac:dyDescent="0.4">
      <c r="A439" s="1">
        <v>5</v>
      </c>
      <c r="B439" s="1">
        <v>26</v>
      </c>
      <c r="C439" s="1" t="s">
        <v>959</v>
      </c>
      <c r="D439" s="1" t="s">
        <v>1</v>
      </c>
      <c r="E439" s="1" t="s">
        <v>950</v>
      </c>
      <c r="F439" s="1" t="s">
        <v>145</v>
      </c>
      <c r="G439" s="11" t="str">
        <f>_xlfn.XLOOKUP(M439,'Code Catagories'!A:A,'Code Catagories'!C:C)</f>
        <v>4A. Rate Uncompetitive</v>
      </c>
      <c r="H439" s="1" t="s">
        <v>138</v>
      </c>
      <c r="I439" s="1" t="s">
        <v>199</v>
      </c>
      <c r="J439" s="1" t="s">
        <v>147</v>
      </c>
      <c r="K439" s="1" t="s">
        <v>148</v>
      </c>
      <c r="L439" s="10" t="s">
        <v>960</v>
      </c>
      <c r="M439" s="11" t="str">
        <f t="shared" si="29"/>
        <v>4A</v>
      </c>
      <c r="N439" s="1" t="str">
        <f t="shared" si="30"/>
        <v>006Rg00000caY5SIAU</v>
      </c>
    </row>
    <row r="440" spans="1:14" ht="29.15" x14ac:dyDescent="0.4">
      <c r="A440" s="1">
        <v>5</v>
      </c>
      <c r="B440" s="1">
        <v>26</v>
      </c>
      <c r="C440" s="1" t="s">
        <v>961</v>
      </c>
      <c r="D440" s="1" t="s">
        <v>1</v>
      </c>
      <c r="E440" s="1" t="s">
        <v>962</v>
      </c>
      <c r="F440" s="1" t="s">
        <v>222</v>
      </c>
      <c r="G440" s="11" t="str">
        <f>_xlfn.XLOOKUP(M440,'Code Catagories'!A:A,'Code Catagories'!C:C)</f>
        <v>4C. Commercial Model</v>
      </c>
      <c r="H440" s="1" t="s">
        <v>134</v>
      </c>
      <c r="I440" s="1" t="s">
        <v>223</v>
      </c>
      <c r="J440" s="1" t="s">
        <v>224</v>
      </c>
      <c r="K440" s="1" t="s">
        <v>148</v>
      </c>
      <c r="L440" s="10" t="s">
        <v>963</v>
      </c>
      <c r="M440" s="11" t="str">
        <f t="shared" si="29"/>
        <v>4C</v>
      </c>
      <c r="N440" s="1" t="str">
        <f t="shared" si="30"/>
        <v>006Rg00000cAyReIAK</v>
      </c>
    </row>
    <row r="441" spans="1:14" x14ac:dyDescent="0.4">
      <c r="A441" s="1">
        <v>5</v>
      </c>
      <c r="B441" s="1">
        <v>26</v>
      </c>
      <c r="C441" s="1" t="s">
        <v>964</v>
      </c>
      <c r="D441" s="1" t="s">
        <v>1</v>
      </c>
      <c r="E441" s="1" t="s">
        <v>134</v>
      </c>
      <c r="F441" s="1" t="s">
        <v>134</v>
      </c>
      <c r="G441" s="11" t="e">
        <f>_xlfn.XLOOKUP(M441,'Code Catagories'!A:A,'Code Catagories'!C:C)</f>
        <v>#N/A</v>
      </c>
      <c r="H441" s="1" t="s">
        <v>134</v>
      </c>
      <c r="I441" s="1" t="s">
        <v>134</v>
      </c>
      <c r="J441" s="1" t="s">
        <v>134</v>
      </c>
      <c r="K441" s="1" t="s">
        <v>134</v>
      </c>
      <c r="L441" s="10" t="s">
        <v>135</v>
      </c>
      <c r="M441" s="11" t="str">
        <f t="shared" si="29"/>
        <v>—</v>
      </c>
      <c r="N441" s="1" t="str">
        <f t="shared" si="30"/>
        <v>006Rg00000cbkArIAI</v>
      </c>
    </row>
    <row r="442" spans="1:14" ht="29.15" x14ac:dyDescent="0.4">
      <c r="A442" s="1">
        <v>5</v>
      </c>
      <c r="B442" s="1">
        <v>26</v>
      </c>
      <c r="C442" s="1" t="s">
        <v>965</v>
      </c>
      <c r="D442" s="1" t="s">
        <v>2</v>
      </c>
      <c r="E442" s="1" t="s">
        <v>391</v>
      </c>
      <c r="F442" s="1" t="s">
        <v>192</v>
      </c>
      <c r="G442" s="11" t="str">
        <f>_xlfn.XLOOKUP(M442,'Code Catagories'!A:A,'Code Catagories'!C:C)</f>
        <v>4D. Contract Mechanics</v>
      </c>
      <c r="H442" s="1" t="s">
        <v>134</v>
      </c>
      <c r="I442" s="1" t="s">
        <v>240</v>
      </c>
      <c r="J442" s="1" t="s">
        <v>224</v>
      </c>
      <c r="K442" s="1" t="s">
        <v>148</v>
      </c>
      <c r="L442" s="10" t="s">
        <v>966</v>
      </c>
      <c r="M442" s="11" t="str">
        <f t="shared" si="29"/>
        <v>4D</v>
      </c>
      <c r="N442" s="1" t="str">
        <f t="shared" si="30"/>
        <v>006Rg00000cbm1NIAQ</v>
      </c>
    </row>
    <row r="443" spans="1:14" ht="29.15" x14ac:dyDescent="0.4">
      <c r="A443" s="1">
        <v>5</v>
      </c>
      <c r="B443" s="1">
        <v>26</v>
      </c>
      <c r="C443" s="1" t="s">
        <v>967</v>
      </c>
      <c r="D443" s="1" t="s">
        <v>2</v>
      </c>
      <c r="E443" s="1" t="s">
        <v>968</v>
      </c>
      <c r="F443" s="1" t="s">
        <v>145</v>
      </c>
      <c r="G443" s="11" t="str">
        <f>_xlfn.XLOOKUP(M443,'Code Catagories'!A:A,'Code Catagories'!C:C)</f>
        <v>4A. Rate Uncompetitive</v>
      </c>
      <c r="H443" s="1" t="s">
        <v>134</v>
      </c>
      <c r="I443" s="1" t="s">
        <v>800</v>
      </c>
      <c r="J443" s="1" t="s">
        <v>224</v>
      </c>
      <c r="K443" s="1" t="s">
        <v>148</v>
      </c>
      <c r="L443" s="10" t="s">
        <v>969</v>
      </c>
      <c r="M443" s="11" t="str">
        <f t="shared" si="29"/>
        <v>4A</v>
      </c>
      <c r="N443" s="1" t="str">
        <f t="shared" si="30"/>
        <v>006Rg00000cBMCDIA4</v>
      </c>
    </row>
    <row r="444" spans="1:14" ht="29.15" x14ac:dyDescent="0.4">
      <c r="A444" s="1">
        <v>5</v>
      </c>
      <c r="B444" s="1">
        <v>26</v>
      </c>
      <c r="C444" s="1" t="s">
        <v>970</v>
      </c>
      <c r="D444" s="1" t="s">
        <v>2</v>
      </c>
      <c r="E444" s="1" t="s">
        <v>895</v>
      </c>
      <c r="F444" s="1" t="s">
        <v>153</v>
      </c>
      <c r="G444" s="11" t="str">
        <f>_xlfn.XLOOKUP(M444,'Code Catagories'!A:A,'Code Catagories'!C:C)</f>
        <v>4E. Availability / Serviceability</v>
      </c>
      <c r="H444" s="1" t="s">
        <v>134</v>
      </c>
      <c r="I444" s="1" t="s">
        <v>154</v>
      </c>
      <c r="J444" s="1" t="s">
        <v>203</v>
      </c>
      <c r="K444" s="1" t="s">
        <v>141</v>
      </c>
      <c r="L444" s="10" t="s">
        <v>971</v>
      </c>
      <c r="M444" s="11" t="str">
        <f t="shared" si="29"/>
        <v>4E</v>
      </c>
      <c r="N444" s="1" t="str">
        <f t="shared" si="30"/>
        <v>006Rg00000cBMKHIA4</v>
      </c>
    </row>
    <row r="445" spans="1:14" x14ac:dyDescent="0.4">
      <c r="A445" s="1">
        <v>5</v>
      </c>
      <c r="B445" s="1">
        <v>26</v>
      </c>
      <c r="C445" s="1" t="s">
        <v>972</v>
      </c>
      <c r="D445" s="1" t="s">
        <v>1</v>
      </c>
      <c r="E445" s="1" t="s">
        <v>973</v>
      </c>
      <c r="F445" s="1" t="s">
        <v>134</v>
      </c>
      <c r="G445" s="11" t="e">
        <f>_xlfn.XLOOKUP(M445,'Code Catagories'!A:A,'Code Catagories'!C:C)</f>
        <v>#N/A</v>
      </c>
      <c r="H445" s="1" t="s">
        <v>134</v>
      </c>
      <c r="I445" s="1" t="s">
        <v>134</v>
      </c>
      <c r="J445" s="1" t="s">
        <v>134</v>
      </c>
      <c r="K445" s="1" t="s">
        <v>134</v>
      </c>
      <c r="L445" s="10" t="s">
        <v>135</v>
      </c>
      <c r="M445" s="11" t="str">
        <f t="shared" si="29"/>
        <v>—</v>
      </c>
      <c r="N445" s="1" t="str">
        <f t="shared" si="30"/>
        <v>006Rg00000cBPGXIA4</v>
      </c>
    </row>
    <row r="446" spans="1:14" ht="29.15" x14ac:dyDescent="0.4">
      <c r="A446" s="1">
        <v>5</v>
      </c>
      <c r="B446" s="1">
        <v>26</v>
      </c>
      <c r="C446" s="1" t="s">
        <v>974</v>
      </c>
      <c r="D446" s="1" t="s">
        <v>2</v>
      </c>
      <c r="E446" s="1" t="s">
        <v>975</v>
      </c>
      <c r="F446" s="1" t="s">
        <v>222</v>
      </c>
      <c r="G446" s="11" t="str">
        <f>_xlfn.XLOOKUP(M446,'Code Catagories'!A:A,'Code Catagories'!C:C)</f>
        <v>4C. Commercial Model</v>
      </c>
      <c r="H446" s="1" t="s">
        <v>134</v>
      </c>
      <c r="I446" s="1" t="s">
        <v>223</v>
      </c>
      <c r="J446" s="1" t="s">
        <v>224</v>
      </c>
      <c r="K446" s="1" t="s">
        <v>148</v>
      </c>
      <c r="L446" s="10" t="s">
        <v>976</v>
      </c>
      <c r="M446" s="11" t="str">
        <f t="shared" si="29"/>
        <v>4C</v>
      </c>
      <c r="N446" s="1" t="str">
        <f t="shared" si="30"/>
        <v>006Rg00000cBSSxIAO</v>
      </c>
    </row>
    <row r="447" spans="1:14" ht="29.15" x14ac:dyDescent="0.4">
      <c r="A447" s="1">
        <v>5</v>
      </c>
      <c r="B447" s="1">
        <v>26</v>
      </c>
      <c r="C447" s="1" t="s">
        <v>974</v>
      </c>
      <c r="D447" s="1" t="s">
        <v>2</v>
      </c>
      <c r="E447" s="1" t="s">
        <v>975</v>
      </c>
      <c r="F447" s="1" t="s">
        <v>145</v>
      </c>
      <c r="G447" s="11" t="str">
        <f>_xlfn.XLOOKUP(M447,'Code Catagories'!A:A,'Code Catagories'!C:C)</f>
        <v>4A. Rate Uncompetitive</v>
      </c>
      <c r="H447" s="1" t="s">
        <v>134</v>
      </c>
      <c r="I447" s="1" t="s">
        <v>146</v>
      </c>
      <c r="J447" s="1" t="s">
        <v>203</v>
      </c>
      <c r="K447" s="1" t="s">
        <v>141</v>
      </c>
      <c r="L447" s="10" t="s">
        <v>977</v>
      </c>
      <c r="M447" s="11" t="str">
        <f t="shared" si="29"/>
        <v>4A</v>
      </c>
      <c r="N447" s="1" t="str">
        <f t="shared" si="30"/>
        <v>006Rg00000cBSSxIAO</v>
      </c>
    </row>
    <row r="448" spans="1:14" ht="29.15" x14ac:dyDescent="0.4">
      <c r="A448" s="1">
        <v>5</v>
      </c>
      <c r="B448" s="1">
        <v>26</v>
      </c>
      <c r="C448" s="1" t="s">
        <v>978</v>
      </c>
      <c r="D448" s="1" t="s">
        <v>1</v>
      </c>
      <c r="E448" s="1" t="s">
        <v>770</v>
      </c>
      <c r="F448" s="1" t="s">
        <v>222</v>
      </c>
      <c r="G448" s="11" t="str">
        <f>_xlfn.XLOOKUP(M448,'Code Catagories'!A:A,'Code Catagories'!C:C)</f>
        <v>4C. Commercial Model</v>
      </c>
      <c r="H448" s="1" t="s">
        <v>134</v>
      </c>
      <c r="I448" s="1" t="s">
        <v>279</v>
      </c>
      <c r="J448" s="1" t="s">
        <v>203</v>
      </c>
      <c r="K448" s="1" t="s">
        <v>148</v>
      </c>
      <c r="L448" s="10" t="s">
        <v>979</v>
      </c>
      <c r="M448" s="11" t="str">
        <f t="shared" si="29"/>
        <v>4C</v>
      </c>
      <c r="N448" s="1" t="str">
        <f t="shared" si="30"/>
        <v>006Rg00000cC8okIAC</v>
      </c>
    </row>
    <row r="449" spans="1:14" ht="29.15" x14ac:dyDescent="0.4">
      <c r="A449" s="1">
        <v>5</v>
      </c>
      <c r="B449" s="1">
        <v>26</v>
      </c>
      <c r="C449" s="1" t="s">
        <v>978</v>
      </c>
      <c r="D449" s="1" t="s">
        <v>1</v>
      </c>
      <c r="E449" s="1" t="s">
        <v>770</v>
      </c>
      <c r="F449" s="1" t="s">
        <v>192</v>
      </c>
      <c r="G449" s="11" t="str">
        <f>_xlfn.XLOOKUP(M449,'Code Catagories'!A:A,'Code Catagories'!C:C)</f>
        <v>4D. Contract Mechanics</v>
      </c>
      <c r="H449" s="1" t="s">
        <v>134</v>
      </c>
      <c r="I449" s="1" t="s">
        <v>193</v>
      </c>
      <c r="J449" s="1" t="s">
        <v>203</v>
      </c>
      <c r="K449" s="1" t="s">
        <v>148</v>
      </c>
      <c r="L449" s="10" t="s">
        <v>980</v>
      </c>
      <c r="M449" s="11" t="str">
        <f t="shared" si="29"/>
        <v>4D</v>
      </c>
      <c r="N449" s="1" t="str">
        <f t="shared" si="30"/>
        <v>006Rg00000cC8okIAC</v>
      </c>
    </row>
    <row r="450" spans="1:14" ht="29.15" x14ac:dyDescent="0.4">
      <c r="A450" s="1">
        <v>5</v>
      </c>
      <c r="B450" s="1">
        <v>27</v>
      </c>
      <c r="C450" s="1" t="s">
        <v>981</v>
      </c>
      <c r="D450" s="1" t="s">
        <v>1</v>
      </c>
      <c r="E450" s="1" t="s">
        <v>982</v>
      </c>
      <c r="F450" s="1" t="s">
        <v>134</v>
      </c>
      <c r="G450" s="11" t="e">
        <f>_xlfn.XLOOKUP(M450,'Code Catagories'!A:A,'Code Catagories'!C:C)</f>
        <v>#N/A</v>
      </c>
      <c r="H450" s="1" t="s">
        <v>134</v>
      </c>
      <c r="I450" s="1" t="s">
        <v>134</v>
      </c>
      <c r="J450" s="1" t="s">
        <v>134</v>
      </c>
      <c r="K450" s="1" t="s">
        <v>134</v>
      </c>
      <c r="L450" s="10" t="s">
        <v>983</v>
      </c>
      <c r="M450" s="11" t="str">
        <f t="shared" si="29"/>
        <v>—</v>
      </c>
      <c r="N450" s="1" t="str">
        <f t="shared" si="30"/>
        <v>006Rg00000cC57jIAC</v>
      </c>
    </row>
    <row r="451" spans="1:14" ht="43.75" x14ac:dyDescent="0.4">
      <c r="A451" s="1">
        <v>5</v>
      </c>
      <c r="B451" s="1">
        <v>27</v>
      </c>
      <c r="C451" s="1" t="s">
        <v>984</v>
      </c>
      <c r="D451" s="1" t="s">
        <v>1</v>
      </c>
      <c r="E451" s="1" t="s">
        <v>386</v>
      </c>
      <c r="F451" s="1" t="s">
        <v>222</v>
      </c>
      <c r="G451" s="11" t="str">
        <f>_xlfn.XLOOKUP(M451,'Code Catagories'!A:A,'Code Catagories'!C:C)</f>
        <v>4C. Commercial Model</v>
      </c>
      <c r="H451" s="1" t="s">
        <v>134</v>
      </c>
      <c r="I451" s="1" t="s">
        <v>223</v>
      </c>
      <c r="J451" s="1" t="s">
        <v>245</v>
      </c>
      <c r="K451" s="1" t="s">
        <v>141</v>
      </c>
      <c r="L451" s="10" t="s">
        <v>985</v>
      </c>
      <c r="M451" s="11" t="str">
        <f t="shared" si="29"/>
        <v>4C</v>
      </c>
      <c r="N451" s="1" t="str">
        <f t="shared" si="30"/>
        <v>006Rg00000cC79VIAS</v>
      </c>
    </row>
    <row r="452" spans="1:14" ht="43.75" x14ac:dyDescent="0.4">
      <c r="A452" s="1">
        <v>5</v>
      </c>
      <c r="B452" s="1">
        <v>27</v>
      </c>
      <c r="C452" s="1" t="s">
        <v>986</v>
      </c>
      <c r="D452" s="1" t="s">
        <v>1</v>
      </c>
      <c r="E452" s="1" t="s">
        <v>134</v>
      </c>
      <c r="F452" s="1" t="s">
        <v>153</v>
      </c>
      <c r="G452" s="11" t="str">
        <f>_xlfn.XLOOKUP(M452,'Code Catagories'!A:A,'Code Catagories'!C:C)</f>
        <v>4E. Availability / Serviceability</v>
      </c>
      <c r="H452" s="1" t="s">
        <v>138</v>
      </c>
      <c r="I452" s="1" t="s">
        <v>154</v>
      </c>
      <c r="J452" s="1" t="s">
        <v>147</v>
      </c>
      <c r="K452" s="1" t="s">
        <v>148</v>
      </c>
      <c r="L452" s="10" t="s">
        <v>987</v>
      </c>
      <c r="M452" s="11" t="str">
        <f t="shared" si="29"/>
        <v>4E</v>
      </c>
      <c r="N452" s="1" t="str">
        <f t="shared" si="30"/>
        <v>006Rg00000cCAKIIA4</v>
      </c>
    </row>
    <row r="453" spans="1:14" ht="29.15" x14ac:dyDescent="0.4">
      <c r="A453" s="1">
        <v>5</v>
      </c>
      <c r="B453" s="1">
        <v>27</v>
      </c>
      <c r="C453" s="1" t="s">
        <v>988</v>
      </c>
      <c r="D453" s="1" t="s">
        <v>2</v>
      </c>
      <c r="E453" s="1" t="s">
        <v>989</v>
      </c>
      <c r="F453" s="1" t="s">
        <v>137</v>
      </c>
      <c r="G453" s="11" t="str">
        <f>_xlfn.XLOOKUP(M453,'Code Catagories'!A:A,'Code Catagories'!C:C)</f>
        <v>4B. Ancillary Fees</v>
      </c>
      <c r="H453" s="1" t="s">
        <v>134</v>
      </c>
      <c r="I453" s="1" t="s">
        <v>990</v>
      </c>
      <c r="J453" s="1" t="s">
        <v>203</v>
      </c>
      <c r="K453" s="1" t="s">
        <v>141</v>
      </c>
      <c r="L453" s="10" t="s">
        <v>991</v>
      </c>
      <c r="M453" s="11" t="str">
        <f t="shared" si="29"/>
        <v>4B</v>
      </c>
      <c r="N453" s="1" t="str">
        <f t="shared" si="30"/>
        <v>006Rg00000cCE4kIAG</v>
      </c>
    </row>
    <row r="454" spans="1:14" ht="29.15" x14ac:dyDescent="0.4">
      <c r="A454" s="1">
        <v>5</v>
      </c>
      <c r="B454" s="1">
        <v>27</v>
      </c>
      <c r="C454" s="1" t="s">
        <v>992</v>
      </c>
      <c r="D454" s="1" t="s">
        <v>1</v>
      </c>
      <c r="E454" s="1" t="s">
        <v>993</v>
      </c>
      <c r="F454" s="1" t="s">
        <v>134</v>
      </c>
      <c r="G454" s="11" t="e">
        <f>_xlfn.XLOOKUP(M454,'Code Catagories'!A:A,'Code Catagories'!C:C)</f>
        <v>#N/A</v>
      </c>
      <c r="H454" s="1" t="s">
        <v>134</v>
      </c>
      <c r="I454" s="1" t="s">
        <v>134</v>
      </c>
      <c r="J454" s="1" t="s">
        <v>134</v>
      </c>
      <c r="K454" s="1" t="s">
        <v>134</v>
      </c>
      <c r="L454" s="10" t="s">
        <v>994</v>
      </c>
      <c r="M454" s="11" t="str">
        <f t="shared" si="29"/>
        <v>—</v>
      </c>
      <c r="N454" s="1" t="str">
        <f t="shared" si="30"/>
        <v>006Rg00000cCGMUIA4</v>
      </c>
    </row>
    <row r="455" spans="1:14" ht="29.15" x14ac:dyDescent="0.4">
      <c r="A455" s="1">
        <v>5</v>
      </c>
      <c r="B455" s="1">
        <v>27</v>
      </c>
      <c r="C455" s="1" t="s">
        <v>995</v>
      </c>
      <c r="D455" s="1" t="s">
        <v>2</v>
      </c>
      <c r="E455" s="1" t="s">
        <v>996</v>
      </c>
      <c r="F455" s="1" t="s">
        <v>134</v>
      </c>
      <c r="G455" s="11" t="e">
        <f>_xlfn.XLOOKUP(M455,'Code Catagories'!A:A,'Code Catagories'!C:C)</f>
        <v>#N/A</v>
      </c>
      <c r="H455" s="1" t="s">
        <v>134</v>
      </c>
      <c r="I455" s="1" t="s">
        <v>134</v>
      </c>
      <c r="J455" s="1" t="s">
        <v>134</v>
      </c>
      <c r="K455" s="1" t="s">
        <v>134</v>
      </c>
      <c r="L455" s="10" t="s">
        <v>997</v>
      </c>
      <c r="M455" s="11" t="str">
        <f t="shared" si="29"/>
        <v>—</v>
      </c>
      <c r="N455" s="1" t="str">
        <f t="shared" si="30"/>
        <v>006Rg00000cEDcFIAW</v>
      </c>
    </row>
    <row r="456" spans="1:14" ht="43.75" x14ac:dyDescent="0.4">
      <c r="A456" s="1">
        <v>5</v>
      </c>
      <c r="B456" s="1">
        <v>27</v>
      </c>
      <c r="C456" s="1" t="s">
        <v>998</v>
      </c>
      <c r="D456" s="1" t="s">
        <v>1</v>
      </c>
      <c r="E456" s="1" t="s">
        <v>999</v>
      </c>
      <c r="F456" s="1" t="s">
        <v>134</v>
      </c>
      <c r="G456" s="11" t="e">
        <f>_xlfn.XLOOKUP(M456,'Code Catagories'!A:A,'Code Catagories'!C:C)</f>
        <v>#N/A</v>
      </c>
      <c r="H456" s="1" t="s">
        <v>134</v>
      </c>
      <c r="I456" s="1" t="s">
        <v>134</v>
      </c>
      <c r="J456" s="1" t="s">
        <v>134</v>
      </c>
      <c r="K456" s="1" t="s">
        <v>134</v>
      </c>
      <c r="L456" s="10" t="s">
        <v>1000</v>
      </c>
      <c r="M456" s="11" t="str">
        <f t="shared" si="29"/>
        <v>—</v>
      </c>
      <c r="N456" s="1" t="str">
        <f t="shared" si="30"/>
        <v>006Rg00000cEFCbIAO</v>
      </c>
    </row>
    <row r="457" spans="1:14" ht="29.15" x14ac:dyDescent="0.4">
      <c r="A457" s="1">
        <v>5</v>
      </c>
      <c r="B457" s="1">
        <v>27</v>
      </c>
      <c r="C457" s="1" t="s">
        <v>1001</v>
      </c>
      <c r="D457" s="1" t="s">
        <v>1</v>
      </c>
      <c r="E457" s="1" t="s">
        <v>428</v>
      </c>
      <c r="F457" s="1" t="s">
        <v>134</v>
      </c>
      <c r="G457" s="11" t="e">
        <f>_xlfn.XLOOKUP(M457,'Code Catagories'!A:A,'Code Catagories'!C:C)</f>
        <v>#N/A</v>
      </c>
      <c r="H457" s="1" t="s">
        <v>134</v>
      </c>
      <c r="I457" s="1" t="s">
        <v>134</v>
      </c>
      <c r="J457" s="1" t="s">
        <v>134</v>
      </c>
      <c r="K457" s="1" t="s">
        <v>134</v>
      </c>
      <c r="L457" s="10" t="s">
        <v>1002</v>
      </c>
      <c r="M457" s="11" t="str">
        <f t="shared" si="29"/>
        <v>—</v>
      </c>
      <c r="N457" s="1" t="str">
        <f t="shared" si="30"/>
        <v>006Rg00000cEFZLIA4</v>
      </c>
    </row>
    <row r="458" spans="1:14" x14ac:dyDescent="0.4">
      <c r="A458" s="1">
        <v>5</v>
      </c>
      <c r="B458" s="1">
        <v>27</v>
      </c>
      <c r="C458" s="1" t="s">
        <v>1003</v>
      </c>
      <c r="D458" s="1" t="s">
        <v>1</v>
      </c>
      <c r="E458" s="1" t="s">
        <v>1004</v>
      </c>
      <c r="F458" s="1" t="s">
        <v>134</v>
      </c>
      <c r="G458" s="11" t="e">
        <f>_xlfn.XLOOKUP(M458,'Code Catagories'!A:A,'Code Catagories'!C:C)</f>
        <v>#N/A</v>
      </c>
      <c r="H458" s="1" t="s">
        <v>134</v>
      </c>
      <c r="I458" s="1" t="s">
        <v>134</v>
      </c>
      <c r="J458" s="1" t="s">
        <v>134</v>
      </c>
      <c r="K458" s="1" t="s">
        <v>134</v>
      </c>
      <c r="L458" s="10" t="s">
        <v>1005</v>
      </c>
      <c r="M458" s="11" t="str">
        <f t="shared" si="29"/>
        <v>—</v>
      </c>
      <c r="N458" s="1" t="str">
        <f t="shared" si="30"/>
        <v>006Rg00000cEp6gIAC</v>
      </c>
    </row>
    <row r="459" spans="1:14" ht="43.75" x14ac:dyDescent="0.4">
      <c r="A459" s="1">
        <v>5</v>
      </c>
      <c r="B459" s="1">
        <v>27</v>
      </c>
      <c r="C459" s="1" t="s">
        <v>1006</v>
      </c>
      <c r="D459" s="1" t="s">
        <v>1</v>
      </c>
      <c r="E459" s="1" t="s">
        <v>1007</v>
      </c>
      <c r="F459" s="1" t="s">
        <v>222</v>
      </c>
      <c r="G459" s="11" t="str">
        <f>_xlfn.XLOOKUP(M459,'Code Catagories'!A:A,'Code Catagories'!C:C)</f>
        <v>4C. Commercial Model</v>
      </c>
      <c r="H459" s="1" t="s">
        <v>134</v>
      </c>
      <c r="I459" s="1" t="s">
        <v>223</v>
      </c>
      <c r="J459" s="1" t="s">
        <v>203</v>
      </c>
      <c r="K459" s="1" t="s">
        <v>141</v>
      </c>
      <c r="L459" s="10" t="s">
        <v>1008</v>
      </c>
      <c r="M459" s="11" t="str">
        <f t="shared" si="29"/>
        <v>4C</v>
      </c>
      <c r="N459" s="1" t="str">
        <f t="shared" si="30"/>
        <v>006Rg00000cEr3OIAS</v>
      </c>
    </row>
    <row r="460" spans="1:14" ht="29.15" x14ac:dyDescent="0.4">
      <c r="A460" s="1">
        <v>5</v>
      </c>
      <c r="B460" s="1">
        <v>27</v>
      </c>
      <c r="C460" s="1" t="s">
        <v>1009</v>
      </c>
      <c r="D460" s="1" t="s">
        <v>1</v>
      </c>
      <c r="E460" s="1" t="s">
        <v>1010</v>
      </c>
      <c r="F460" s="1" t="s">
        <v>134</v>
      </c>
      <c r="G460" s="11" t="e">
        <f>_xlfn.XLOOKUP(M460,'Code Catagories'!A:A,'Code Catagories'!C:C)</f>
        <v>#N/A</v>
      </c>
      <c r="H460" s="1" t="s">
        <v>134</v>
      </c>
      <c r="I460" s="1" t="s">
        <v>134</v>
      </c>
      <c r="J460" s="1" t="s">
        <v>134</v>
      </c>
      <c r="K460" s="1" t="s">
        <v>134</v>
      </c>
      <c r="L460" s="10" t="s">
        <v>1011</v>
      </c>
      <c r="M460" s="11" t="str">
        <f t="shared" si="29"/>
        <v>—</v>
      </c>
      <c r="N460" s="1" t="str">
        <f t="shared" si="30"/>
        <v>006Rg00000cEr6cIAC</v>
      </c>
    </row>
    <row r="461" spans="1:14" ht="29.15" x14ac:dyDescent="0.4">
      <c r="A461" s="1">
        <v>5</v>
      </c>
      <c r="B461" s="1">
        <v>27</v>
      </c>
      <c r="C461" s="1" t="s">
        <v>1012</v>
      </c>
      <c r="D461" s="1" t="s">
        <v>1</v>
      </c>
      <c r="E461" s="1" t="s">
        <v>391</v>
      </c>
      <c r="F461" s="1" t="s">
        <v>166</v>
      </c>
      <c r="G461" s="11" t="str">
        <f>_xlfn.XLOOKUP(M461,'Code Catagories'!A:A,'Code Catagories'!C:C)</f>
        <v>4F. Promotion Ineligibility</v>
      </c>
      <c r="H461" s="1" t="s">
        <v>134</v>
      </c>
      <c r="I461" s="1" t="s">
        <v>167</v>
      </c>
      <c r="J461" s="1" t="s">
        <v>203</v>
      </c>
      <c r="K461" s="1" t="s">
        <v>141</v>
      </c>
      <c r="L461" s="10" t="s">
        <v>1013</v>
      </c>
      <c r="M461" s="11" t="str">
        <f t="shared" si="29"/>
        <v>4F</v>
      </c>
      <c r="N461" s="1" t="str">
        <f t="shared" si="30"/>
        <v>006Rg00000cEskMIAS</v>
      </c>
    </row>
    <row r="462" spans="1:14" ht="29.15" x14ac:dyDescent="0.4">
      <c r="A462" s="1">
        <v>5</v>
      </c>
      <c r="B462" s="1">
        <v>27</v>
      </c>
      <c r="C462" s="1" t="s">
        <v>1014</v>
      </c>
      <c r="D462" s="1" t="s">
        <v>2</v>
      </c>
      <c r="E462" s="1" t="s">
        <v>660</v>
      </c>
      <c r="F462" s="1" t="s">
        <v>137</v>
      </c>
      <c r="G462" s="11" t="str">
        <f>_xlfn.XLOOKUP(M462,'Code Catagories'!A:A,'Code Catagories'!C:C)</f>
        <v>4B. Ancillary Fees</v>
      </c>
      <c r="H462" s="1" t="s">
        <v>138</v>
      </c>
      <c r="I462" s="1" t="s">
        <v>232</v>
      </c>
      <c r="J462" s="1" t="s">
        <v>140</v>
      </c>
      <c r="K462" s="1" t="s">
        <v>148</v>
      </c>
      <c r="L462" s="10" t="s">
        <v>1015</v>
      </c>
      <c r="M462" s="11" t="str">
        <f t="shared" si="29"/>
        <v>4B</v>
      </c>
      <c r="N462" s="1" t="str">
        <f t="shared" si="30"/>
        <v>006Rg00000cEsVhIAK</v>
      </c>
    </row>
    <row r="463" spans="1:14" ht="43.75" x14ac:dyDescent="0.4">
      <c r="A463" s="1">
        <v>5</v>
      </c>
      <c r="B463" s="1">
        <v>27</v>
      </c>
      <c r="C463" s="1" t="s">
        <v>1016</v>
      </c>
      <c r="D463" s="1" t="s">
        <v>1</v>
      </c>
      <c r="E463" s="1" t="s">
        <v>1017</v>
      </c>
      <c r="F463" s="1" t="s">
        <v>134</v>
      </c>
      <c r="G463" s="11" t="e">
        <f>_xlfn.XLOOKUP(M463,'Code Catagories'!A:A,'Code Catagories'!C:C)</f>
        <v>#N/A</v>
      </c>
      <c r="H463" s="1" t="s">
        <v>134</v>
      </c>
      <c r="I463" s="1" t="s">
        <v>134</v>
      </c>
      <c r="J463" s="1" t="s">
        <v>134</v>
      </c>
      <c r="K463" s="1" t="s">
        <v>134</v>
      </c>
      <c r="L463" s="10" t="s">
        <v>1018</v>
      </c>
      <c r="M463" s="11" t="str">
        <f t="shared" si="29"/>
        <v>—</v>
      </c>
      <c r="N463" s="1" t="str">
        <f t="shared" si="30"/>
        <v>006Rg00000cEUoLIAW</v>
      </c>
    </row>
    <row r="464" spans="1:14" ht="29.15" x14ac:dyDescent="0.4">
      <c r="A464" s="1">
        <v>5</v>
      </c>
      <c r="B464" s="1">
        <v>27</v>
      </c>
      <c r="C464" s="1" t="s">
        <v>1019</v>
      </c>
      <c r="D464" s="1" t="s">
        <v>1</v>
      </c>
      <c r="E464" s="1" t="s">
        <v>134</v>
      </c>
      <c r="F464" s="1" t="s">
        <v>134</v>
      </c>
      <c r="G464" s="11" t="e">
        <f>_xlfn.XLOOKUP(M464,'Code Catagories'!A:A,'Code Catagories'!C:C)</f>
        <v>#N/A</v>
      </c>
      <c r="H464" s="1" t="s">
        <v>134</v>
      </c>
      <c r="I464" s="1" t="s">
        <v>134</v>
      </c>
      <c r="J464" s="1" t="s">
        <v>134</v>
      </c>
      <c r="K464" s="1" t="s">
        <v>134</v>
      </c>
      <c r="L464" s="10" t="s">
        <v>1020</v>
      </c>
      <c r="M464" s="11" t="str">
        <f t="shared" si="29"/>
        <v>—</v>
      </c>
      <c r="N464" s="1" t="str">
        <f t="shared" si="30"/>
        <v>006Rg00000cF1IsIAK</v>
      </c>
    </row>
    <row r="465" spans="1:14" ht="29.15" x14ac:dyDescent="0.4">
      <c r="A465" s="1">
        <v>5</v>
      </c>
      <c r="B465" s="1">
        <v>27</v>
      </c>
      <c r="C465" s="1" t="s">
        <v>1021</v>
      </c>
      <c r="D465" s="1" t="s">
        <v>1</v>
      </c>
      <c r="E465" s="1" t="s">
        <v>134</v>
      </c>
      <c r="F465" s="1" t="s">
        <v>145</v>
      </c>
      <c r="G465" s="11" t="str">
        <f>_xlfn.XLOOKUP(M465,'Code Catagories'!A:A,'Code Catagories'!C:C)</f>
        <v>4A. Rate Uncompetitive</v>
      </c>
      <c r="H465" s="1" t="s">
        <v>134</v>
      </c>
      <c r="I465" s="1" t="s">
        <v>1022</v>
      </c>
      <c r="J465" s="1" t="s">
        <v>203</v>
      </c>
      <c r="K465" s="1" t="s">
        <v>141</v>
      </c>
      <c r="L465" s="10" t="s">
        <v>1023</v>
      </c>
      <c r="M465" s="11" t="str">
        <f t="shared" si="29"/>
        <v>4A</v>
      </c>
      <c r="N465" s="1" t="str">
        <f t="shared" si="30"/>
        <v>006Rg00000cF2mvIAC</v>
      </c>
    </row>
    <row r="466" spans="1:14" ht="29.15" x14ac:dyDescent="0.4">
      <c r="A466" s="1">
        <v>5</v>
      </c>
      <c r="B466" s="1">
        <v>27</v>
      </c>
      <c r="C466" s="1" t="s">
        <v>1024</v>
      </c>
      <c r="D466" s="1" t="s">
        <v>1</v>
      </c>
      <c r="E466" s="1" t="s">
        <v>428</v>
      </c>
      <c r="F466" s="1" t="s">
        <v>134</v>
      </c>
      <c r="G466" s="11" t="e">
        <f>_xlfn.XLOOKUP(M466,'Code Catagories'!A:A,'Code Catagories'!C:C)</f>
        <v>#N/A</v>
      </c>
      <c r="H466" s="1" t="s">
        <v>134</v>
      </c>
      <c r="I466" s="1" t="s">
        <v>134</v>
      </c>
      <c r="J466" s="1" t="s">
        <v>134</v>
      </c>
      <c r="K466" s="1" t="s">
        <v>134</v>
      </c>
      <c r="L466" s="10" t="s">
        <v>1025</v>
      </c>
      <c r="M466" s="11" t="str">
        <f t="shared" si="29"/>
        <v>—</v>
      </c>
      <c r="N466" s="1" t="str">
        <f t="shared" si="30"/>
        <v>006Rg00000cF2n3IAC</v>
      </c>
    </row>
    <row r="467" spans="1:14" ht="43.75" x14ac:dyDescent="0.4">
      <c r="A467" s="1">
        <v>5</v>
      </c>
      <c r="B467" s="1">
        <v>27</v>
      </c>
      <c r="C467" s="1" t="s">
        <v>1026</v>
      </c>
      <c r="D467" s="1" t="s">
        <v>1</v>
      </c>
      <c r="E467" s="1" t="s">
        <v>1027</v>
      </c>
      <c r="F467" s="1" t="s">
        <v>145</v>
      </c>
      <c r="G467" s="11" t="str">
        <f>_xlfn.XLOOKUP(M467,'Code Catagories'!A:A,'Code Catagories'!C:C)</f>
        <v>4A. Rate Uncompetitive</v>
      </c>
      <c r="H467" s="1" t="s">
        <v>138</v>
      </c>
      <c r="I467" s="1" t="s">
        <v>146</v>
      </c>
      <c r="J467" s="1" t="s">
        <v>147</v>
      </c>
      <c r="K467" s="1" t="s">
        <v>148</v>
      </c>
      <c r="L467" s="10" t="s">
        <v>1028</v>
      </c>
      <c r="M467" s="11" t="str">
        <f t="shared" si="29"/>
        <v>4A</v>
      </c>
      <c r="N467" s="1" t="str">
        <f t="shared" si="30"/>
        <v>006Rg00000cF40oIAC</v>
      </c>
    </row>
    <row r="468" spans="1:14" ht="43.75" x14ac:dyDescent="0.4">
      <c r="A468" s="1">
        <v>5</v>
      </c>
      <c r="B468" s="1">
        <v>27</v>
      </c>
      <c r="C468" s="1" t="s">
        <v>1029</v>
      </c>
      <c r="D468" s="1" t="s">
        <v>1</v>
      </c>
      <c r="E468" s="1" t="s">
        <v>1030</v>
      </c>
      <c r="F468" s="1" t="s">
        <v>134</v>
      </c>
      <c r="G468" s="11" t="e">
        <f>_xlfn.XLOOKUP(M468,'Code Catagories'!A:A,'Code Catagories'!C:C)</f>
        <v>#N/A</v>
      </c>
      <c r="H468" s="1" t="s">
        <v>134</v>
      </c>
      <c r="I468" s="1" t="s">
        <v>134</v>
      </c>
      <c r="J468" s="1" t="s">
        <v>134</v>
      </c>
      <c r="K468" s="1" t="s">
        <v>134</v>
      </c>
      <c r="L468" s="10" t="s">
        <v>1031</v>
      </c>
      <c r="M468" s="11" t="str">
        <f t="shared" si="29"/>
        <v>—</v>
      </c>
      <c r="N468" s="1" t="str">
        <f t="shared" si="30"/>
        <v>006Rg00000cFcdNIAS</v>
      </c>
    </row>
    <row r="469" spans="1:14" ht="29.15" x14ac:dyDescent="0.4">
      <c r="A469" s="1">
        <v>5</v>
      </c>
      <c r="B469" s="1">
        <v>27</v>
      </c>
      <c r="C469" s="1" t="s">
        <v>1032</v>
      </c>
      <c r="D469" s="1" t="s">
        <v>2</v>
      </c>
      <c r="E469" s="1" t="s">
        <v>658</v>
      </c>
      <c r="F469" s="1" t="s">
        <v>134</v>
      </c>
      <c r="G469" s="11" t="e">
        <f>_xlfn.XLOOKUP(M469,'Code Catagories'!A:A,'Code Catagories'!C:C)</f>
        <v>#N/A</v>
      </c>
      <c r="H469" s="1" t="s">
        <v>134</v>
      </c>
      <c r="I469" s="1" t="s">
        <v>134</v>
      </c>
      <c r="J469" s="1" t="s">
        <v>134</v>
      </c>
      <c r="K469" s="1" t="s">
        <v>134</v>
      </c>
      <c r="L469" s="10" t="s">
        <v>1033</v>
      </c>
      <c r="M469" s="11" t="str">
        <f t="shared" si="29"/>
        <v>—</v>
      </c>
      <c r="N469" s="1" t="str">
        <f t="shared" si="30"/>
        <v>006Rg00000cFihEIAS</v>
      </c>
    </row>
    <row r="470" spans="1:14" ht="43.75" x14ac:dyDescent="0.4">
      <c r="A470" s="1">
        <v>5</v>
      </c>
      <c r="B470" s="1">
        <v>28</v>
      </c>
      <c r="C470" s="1" t="s">
        <v>1035</v>
      </c>
      <c r="D470" s="1" t="s">
        <v>1</v>
      </c>
      <c r="E470" s="1" t="s">
        <v>490</v>
      </c>
      <c r="F470" s="1" t="s">
        <v>137</v>
      </c>
      <c r="G470" s="11" t="str">
        <f>_xlfn.XLOOKUP(M470,'Code Catagories'!A:A,'Code Catagories'!C:C)</f>
        <v>4B. Ancillary Fees</v>
      </c>
      <c r="H470" s="1" t="s">
        <v>134</v>
      </c>
      <c r="I470" s="1" t="s">
        <v>207</v>
      </c>
      <c r="J470" s="1" t="s">
        <v>203</v>
      </c>
      <c r="K470" s="1" t="s">
        <v>141</v>
      </c>
      <c r="L470" s="10" t="s">
        <v>1036</v>
      </c>
      <c r="M470" s="11" t="str">
        <f t="shared" ref="M470:M474" si="31">TRIM(F470)</f>
        <v>4B</v>
      </c>
      <c r="N470" s="1" t="str">
        <f t="shared" ref="N470:N474" si="32">TRIM(C470)</f>
        <v>006Rg00000cFIWbIAO</v>
      </c>
    </row>
    <row r="471" spans="1:14" ht="29.15" x14ac:dyDescent="0.4">
      <c r="A471" s="1">
        <v>5</v>
      </c>
      <c r="B471" s="1">
        <v>28</v>
      </c>
      <c r="C471" s="1" t="s">
        <v>1034</v>
      </c>
      <c r="D471" s="1" t="s">
        <v>1</v>
      </c>
      <c r="E471" s="1" t="s">
        <v>1037</v>
      </c>
      <c r="F471" s="1" t="s">
        <v>222</v>
      </c>
      <c r="G471" s="11" t="str">
        <f>_xlfn.XLOOKUP(M471,'Code Catagories'!A:A,'Code Catagories'!C:C)</f>
        <v>4C. Commercial Model</v>
      </c>
      <c r="H471" s="1" t="s">
        <v>138</v>
      </c>
      <c r="I471" s="1" t="s">
        <v>239</v>
      </c>
      <c r="J471" s="1" t="s">
        <v>147</v>
      </c>
      <c r="K471" s="1" t="s">
        <v>148</v>
      </c>
      <c r="L471" s="10" t="s">
        <v>1038</v>
      </c>
      <c r="M471" s="11" t="str">
        <f t="shared" si="31"/>
        <v>4C</v>
      </c>
      <c r="N471" s="1" t="str">
        <f t="shared" si="32"/>
        <v>006Rg00000cFnqbIAC</v>
      </c>
    </row>
    <row r="472" spans="1:14" x14ac:dyDescent="0.4">
      <c r="A472" s="1">
        <v>5</v>
      </c>
      <c r="B472" s="1">
        <v>28</v>
      </c>
      <c r="C472" s="1" t="s">
        <v>1039</v>
      </c>
      <c r="D472" s="1" t="s">
        <v>2</v>
      </c>
      <c r="E472" s="1" t="s">
        <v>1040</v>
      </c>
      <c r="F472" s="1" t="s">
        <v>134</v>
      </c>
      <c r="G472" s="11" t="e">
        <f>_xlfn.XLOOKUP(M472,'Code Catagories'!A:A,'Code Catagories'!C:C)</f>
        <v>#N/A</v>
      </c>
      <c r="H472" s="1" t="s">
        <v>134</v>
      </c>
      <c r="I472" s="1" t="s">
        <v>134</v>
      </c>
      <c r="J472" s="1" t="s">
        <v>134</v>
      </c>
      <c r="K472" s="1" t="s">
        <v>134</v>
      </c>
      <c r="L472" s="10" t="s">
        <v>135</v>
      </c>
      <c r="M472" s="11" t="str">
        <f t="shared" si="31"/>
        <v>—</v>
      </c>
      <c r="N472" s="1" t="str">
        <f t="shared" si="32"/>
        <v>006Rg00000cFojOIAS</v>
      </c>
    </row>
    <row r="473" spans="1:14" x14ac:dyDescent="0.4">
      <c r="A473" s="1">
        <v>5</v>
      </c>
      <c r="B473" s="1">
        <v>28</v>
      </c>
      <c r="C473" s="1" t="s">
        <v>1041</v>
      </c>
      <c r="D473" s="1" t="s">
        <v>2</v>
      </c>
      <c r="E473" s="1" t="s">
        <v>426</v>
      </c>
      <c r="F473" s="1" t="s">
        <v>134</v>
      </c>
      <c r="G473" s="11" t="e">
        <f>_xlfn.XLOOKUP(M473,'Code Catagories'!A:A,'Code Catagories'!C:C)</f>
        <v>#N/A</v>
      </c>
      <c r="H473" s="1" t="s">
        <v>134</v>
      </c>
      <c r="I473" s="1" t="s">
        <v>134</v>
      </c>
      <c r="J473" s="1" t="s">
        <v>134</v>
      </c>
      <c r="K473" s="1" t="s">
        <v>134</v>
      </c>
      <c r="L473" s="10" t="s">
        <v>135</v>
      </c>
      <c r="M473" s="11" t="str">
        <f t="shared" si="31"/>
        <v>—</v>
      </c>
      <c r="N473" s="1" t="str">
        <f t="shared" si="32"/>
        <v>006Rg00000cG1OrIAK</v>
      </c>
    </row>
    <row r="474" spans="1:14" x14ac:dyDescent="0.4">
      <c r="A474" s="1">
        <v>5</v>
      </c>
      <c r="B474" s="1">
        <v>28</v>
      </c>
      <c r="C474" s="1" t="s">
        <v>1042</v>
      </c>
      <c r="D474" s="1" t="s">
        <v>2</v>
      </c>
      <c r="E474" s="1" t="s">
        <v>1043</v>
      </c>
      <c r="F474" s="1" t="s">
        <v>134</v>
      </c>
      <c r="G474" s="11" t="e">
        <f>_xlfn.XLOOKUP(M474,'Code Catagories'!A:A,'Code Catagories'!C:C)</f>
        <v>#N/A</v>
      </c>
      <c r="H474" s="1" t="s">
        <v>134</v>
      </c>
      <c r="I474" s="1" t="s">
        <v>134</v>
      </c>
      <c r="J474" s="1" t="s">
        <v>134</v>
      </c>
      <c r="K474" s="1" t="s">
        <v>134</v>
      </c>
      <c r="L474" s="10" t="s">
        <v>135</v>
      </c>
      <c r="M474" s="11" t="str">
        <f t="shared" si="31"/>
        <v>—</v>
      </c>
      <c r="N474" s="1" t="str">
        <f t="shared" si="32"/>
        <v>006Rg00000cggPzIAI</v>
      </c>
    </row>
    <row r="475" spans="1:14" ht="29.15" x14ac:dyDescent="0.4">
      <c r="A475" s="1">
        <v>5</v>
      </c>
      <c r="B475" s="1">
        <v>29</v>
      </c>
      <c r="C475" s="1" t="s">
        <v>1044</v>
      </c>
      <c r="D475" s="1" t="s">
        <v>1</v>
      </c>
      <c r="E475" s="1" t="s">
        <v>134</v>
      </c>
      <c r="F475" s="1" t="s">
        <v>145</v>
      </c>
      <c r="G475" s="11" t="str">
        <f>_xlfn.XLOOKUP(M475,'Code Catagories'!A:A,'Code Catagories'!C:C)</f>
        <v>4A. Rate Uncompetitive</v>
      </c>
      <c r="H475" s="1" t="s">
        <v>138</v>
      </c>
      <c r="I475" s="1" t="s">
        <v>241</v>
      </c>
      <c r="J475" s="1" t="s">
        <v>147</v>
      </c>
      <c r="K475" s="1" t="s">
        <v>148</v>
      </c>
      <c r="L475" s="10" t="s">
        <v>1045</v>
      </c>
      <c r="M475" s="11" t="str">
        <f t="shared" ref="M475:M491" si="33">TRIM(F475)</f>
        <v>4A</v>
      </c>
      <c r="N475" s="1" t="str">
        <f t="shared" ref="N475:N491" si="34">TRIM(C475)</f>
        <v>006Rg00000cgnjBIAQ</v>
      </c>
    </row>
    <row r="476" spans="1:14" x14ac:dyDescent="0.4">
      <c r="A476" s="1">
        <v>5</v>
      </c>
      <c r="B476" s="1">
        <v>29</v>
      </c>
      <c r="C476" s="1" t="s">
        <v>1046</v>
      </c>
      <c r="D476" s="1" t="s">
        <v>2</v>
      </c>
      <c r="E476" s="1" t="s">
        <v>1047</v>
      </c>
      <c r="F476" s="1" t="s">
        <v>134</v>
      </c>
      <c r="G476" s="11" t="e">
        <f>_xlfn.XLOOKUP(M476,'Code Catagories'!A:A,'Code Catagories'!C:C)</f>
        <v>#N/A</v>
      </c>
      <c r="H476" s="1" t="s">
        <v>134</v>
      </c>
      <c r="I476" s="1" t="s">
        <v>134</v>
      </c>
      <c r="J476" s="1" t="s">
        <v>134</v>
      </c>
      <c r="K476" s="1" t="s">
        <v>134</v>
      </c>
      <c r="L476" s="10" t="s">
        <v>135</v>
      </c>
      <c r="M476" s="11" t="str">
        <f t="shared" si="33"/>
        <v>—</v>
      </c>
      <c r="N476" s="1" t="str">
        <f t="shared" si="34"/>
        <v>006Rg00000cgOpdIAE</v>
      </c>
    </row>
    <row r="477" spans="1:14" ht="29.15" x14ac:dyDescent="0.4">
      <c r="A477" s="1">
        <v>5</v>
      </c>
      <c r="B477" s="1">
        <v>29</v>
      </c>
      <c r="C477" s="1" t="s">
        <v>1048</v>
      </c>
      <c r="D477" s="1" t="s">
        <v>1</v>
      </c>
      <c r="E477" s="1" t="s">
        <v>397</v>
      </c>
      <c r="F477" s="1" t="s">
        <v>222</v>
      </c>
      <c r="G477" s="11" t="str">
        <f>_xlfn.XLOOKUP(M477,'Code Catagories'!A:A,'Code Catagories'!C:C)</f>
        <v>4C. Commercial Model</v>
      </c>
      <c r="H477" s="1" t="s">
        <v>134</v>
      </c>
      <c r="I477" s="1" t="s">
        <v>223</v>
      </c>
      <c r="J477" s="1" t="s">
        <v>203</v>
      </c>
      <c r="K477" s="1" t="s">
        <v>141</v>
      </c>
      <c r="L477" s="10" t="s">
        <v>1049</v>
      </c>
      <c r="M477" s="11" t="str">
        <f t="shared" si="33"/>
        <v>4C</v>
      </c>
      <c r="N477" s="1" t="str">
        <f t="shared" si="34"/>
        <v>006Rg00000cguWAIAY</v>
      </c>
    </row>
    <row r="478" spans="1:14" ht="29.15" x14ac:dyDescent="0.4">
      <c r="A478" s="1">
        <v>5</v>
      </c>
      <c r="B478" s="1">
        <v>29</v>
      </c>
      <c r="C478" s="1" t="s">
        <v>1050</v>
      </c>
      <c r="D478" s="1" t="s">
        <v>1</v>
      </c>
      <c r="E478" s="1" t="s">
        <v>1051</v>
      </c>
      <c r="F478" s="1" t="s">
        <v>222</v>
      </c>
      <c r="G478" s="11" t="str">
        <f>_xlfn.XLOOKUP(M478,'Code Catagories'!A:A,'Code Catagories'!C:C)</f>
        <v>4C. Commercial Model</v>
      </c>
      <c r="H478" s="1" t="s">
        <v>138</v>
      </c>
      <c r="I478" s="1" t="s">
        <v>279</v>
      </c>
      <c r="J478" s="1" t="s">
        <v>147</v>
      </c>
      <c r="K478" s="1" t="s">
        <v>148</v>
      </c>
      <c r="L478" s="10" t="s">
        <v>1052</v>
      </c>
      <c r="M478" s="11" t="str">
        <f t="shared" si="33"/>
        <v>4C</v>
      </c>
      <c r="N478" s="1" t="str">
        <f t="shared" si="34"/>
        <v>006Rg00000cgvTrIAI</v>
      </c>
    </row>
    <row r="479" spans="1:14" x14ac:dyDescent="0.4">
      <c r="A479" s="1">
        <v>5</v>
      </c>
      <c r="B479" s="1">
        <v>29</v>
      </c>
      <c r="C479" s="1" t="s">
        <v>1053</v>
      </c>
      <c r="D479" s="1" t="s">
        <v>2</v>
      </c>
      <c r="E479" s="1" t="s">
        <v>1054</v>
      </c>
      <c r="F479" s="1" t="s">
        <v>134</v>
      </c>
      <c r="G479" s="11" t="e">
        <f>_xlfn.XLOOKUP(M479,'Code Catagories'!A:A,'Code Catagories'!C:C)</f>
        <v>#N/A</v>
      </c>
      <c r="H479" s="1" t="s">
        <v>134</v>
      </c>
      <c r="I479" s="1" t="s">
        <v>134</v>
      </c>
      <c r="J479" s="1" t="s">
        <v>134</v>
      </c>
      <c r="K479" s="1" t="s">
        <v>134</v>
      </c>
      <c r="L479" s="10" t="s">
        <v>135</v>
      </c>
      <c r="M479" s="11" t="str">
        <f t="shared" si="33"/>
        <v>—</v>
      </c>
      <c r="N479" s="1" t="str">
        <f t="shared" si="34"/>
        <v>006Rg00000cgxsDIAQ</v>
      </c>
    </row>
    <row r="480" spans="1:14" x14ac:dyDescent="0.4">
      <c r="A480" s="1">
        <v>5</v>
      </c>
      <c r="B480" s="1">
        <v>29</v>
      </c>
      <c r="C480" s="1" t="s">
        <v>1055</v>
      </c>
      <c r="D480" s="1" t="s">
        <v>2</v>
      </c>
      <c r="E480" s="1" t="s">
        <v>134</v>
      </c>
      <c r="F480" s="1" t="s">
        <v>134</v>
      </c>
      <c r="G480" s="11" t="e">
        <f>_xlfn.XLOOKUP(M480,'Code Catagories'!A:A,'Code Catagories'!C:C)</f>
        <v>#N/A</v>
      </c>
      <c r="H480" s="1" t="s">
        <v>134</v>
      </c>
      <c r="I480" s="1" t="s">
        <v>134</v>
      </c>
      <c r="J480" s="1" t="s">
        <v>134</v>
      </c>
      <c r="K480" s="1" t="s">
        <v>134</v>
      </c>
      <c r="L480" s="10" t="s">
        <v>135</v>
      </c>
      <c r="M480" s="11" t="str">
        <f t="shared" si="33"/>
        <v>—</v>
      </c>
      <c r="N480" s="1" t="str">
        <f t="shared" si="34"/>
        <v>006Rg00000cgzjPIAQ</v>
      </c>
    </row>
    <row r="481" spans="1:14" ht="29.15" x14ac:dyDescent="0.4">
      <c r="A481" s="1">
        <v>5</v>
      </c>
      <c r="B481" s="1">
        <v>29</v>
      </c>
      <c r="C481" s="1" t="s">
        <v>1056</v>
      </c>
      <c r="D481" s="1" t="s">
        <v>1</v>
      </c>
      <c r="E481" s="1" t="s">
        <v>950</v>
      </c>
      <c r="F481" s="1" t="s">
        <v>192</v>
      </c>
      <c r="G481" s="11" t="str">
        <f>_xlfn.XLOOKUP(M481,'Code Catagories'!A:A,'Code Catagories'!C:C)</f>
        <v>4D. Contract Mechanics</v>
      </c>
      <c r="H481" s="1" t="s">
        <v>138</v>
      </c>
      <c r="I481" s="1" t="s">
        <v>394</v>
      </c>
      <c r="J481" s="1" t="s">
        <v>147</v>
      </c>
      <c r="K481" s="1" t="s">
        <v>148</v>
      </c>
      <c r="L481" s="10" t="s">
        <v>1057</v>
      </c>
      <c r="M481" s="11" t="str">
        <f t="shared" si="33"/>
        <v>4D</v>
      </c>
      <c r="N481" s="1" t="str">
        <f t="shared" si="34"/>
        <v>006Rg00000ch1NxIAI</v>
      </c>
    </row>
    <row r="482" spans="1:14" x14ac:dyDescent="0.4">
      <c r="A482" s="1">
        <v>5</v>
      </c>
      <c r="B482" s="1">
        <v>29</v>
      </c>
      <c r="C482" s="1" t="s">
        <v>1058</v>
      </c>
      <c r="D482" s="1" t="s">
        <v>1</v>
      </c>
      <c r="E482" s="1" t="s">
        <v>434</v>
      </c>
      <c r="F482" s="1" t="s">
        <v>134</v>
      </c>
      <c r="G482" s="11" t="e">
        <f>_xlfn.XLOOKUP(M482,'Code Catagories'!A:A,'Code Catagories'!C:C)</f>
        <v>#N/A</v>
      </c>
      <c r="H482" s="1" t="s">
        <v>134</v>
      </c>
      <c r="I482" s="1" t="s">
        <v>134</v>
      </c>
      <c r="J482" s="1" t="s">
        <v>134</v>
      </c>
      <c r="K482" s="1" t="s">
        <v>134</v>
      </c>
      <c r="L482" s="10" t="s">
        <v>135</v>
      </c>
      <c r="M482" s="11" t="str">
        <f t="shared" si="33"/>
        <v>—</v>
      </c>
      <c r="N482" s="1" t="str">
        <f t="shared" si="34"/>
        <v>006Rg00000ch3HhIAI</v>
      </c>
    </row>
    <row r="483" spans="1:14" x14ac:dyDescent="0.4">
      <c r="A483" s="1">
        <v>5</v>
      </c>
      <c r="B483" s="1">
        <v>29</v>
      </c>
      <c r="C483" s="1" t="s">
        <v>1059</v>
      </c>
      <c r="D483" s="1" t="s">
        <v>1</v>
      </c>
      <c r="E483" s="1" t="s">
        <v>476</v>
      </c>
      <c r="F483" s="1" t="s">
        <v>134</v>
      </c>
      <c r="G483" s="11" t="e">
        <f>_xlfn.XLOOKUP(M483,'Code Catagories'!A:A,'Code Catagories'!C:C)</f>
        <v>#N/A</v>
      </c>
      <c r="H483" s="1" t="s">
        <v>134</v>
      </c>
      <c r="I483" s="1" t="s">
        <v>134</v>
      </c>
      <c r="J483" s="1" t="s">
        <v>134</v>
      </c>
      <c r="K483" s="1" t="s">
        <v>134</v>
      </c>
      <c r="L483" s="10" t="s">
        <v>135</v>
      </c>
      <c r="M483" s="11" t="str">
        <f t="shared" si="33"/>
        <v>—</v>
      </c>
      <c r="N483" s="1" t="str">
        <f t="shared" si="34"/>
        <v>006Rg00000ch3zHIAQ</v>
      </c>
    </row>
    <row r="484" spans="1:14" x14ac:dyDescent="0.4">
      <c r="A484" s="1">
        <v>5</v>
      </c>
      <c r="B484" s="1">
        <v>29</v>
      </c>
      <c r="C484" s="1" t="s">
        <v>1060</v>
      </c>
      <c r="D484" s="1" t="s">
        <v>2</v>
      </c>
      <c r="E484" s="1" t="s">
        <v>1061</v>
      </c>
      <c r="F484" s="1" t="s">
        <v>134</v>
      </c>
      <c r="G484" s="11" t="e">
        <f>_xlfn.XLOOKUP(M484,'Code Catagories'!A:A,'Code Catagories'!C:C)</f>
        <v>#N/A</v>
      </c>
      <c r="H484" s="1" t="s">
        <v>134</v>
      </c>
      <c r="I484" s="1" t="s">
        <v>134</v>
      </c>
      <c r="J484" s="1" t="s">
        <v>134</v>
      </c>
      <c r="K484" s="1" t="s">
        <v>134</v>
      </c>
      <c r="L484" s="10" t="s">
        <v>135</v>
      </c>
      <c r="M484" s="11" t="str">
        <f t="shared" si="33"/>
        <v>—</v>
      </c>
      <c r="N484" s="1" t="str">
        <f t="shared" si="34"/>
        <v>006Rg00000cHaXbIAK</v>
      </c>
    </row>
    <row r="485" spans="1:14" x14ac:dyDescent="0.4">
      <c r="A485" s="1">
        <v>5</v>
      </c>
      <c r="B485" s="1">
        <v>29</v>
      </c>
      <c r="C485" s="1" t="s">
        <v>1062</v>
      </c>
      <c r="D485" s="1" t="s">
        <v>2</v>
      </c>
      <c r="E485" s="1" t="s">
        <v>915</v>
      </c>
      <c r="F485" s="1" t="s">
        <v>134</v>
      </c>
      <c r="G485" s="11" t="e">
        <f>_xlfn.XLOOKUP(M485,'Code Catagories'!A:A,'Code Catagories'!C:C)</f>
        <v>#N/A</v>
      </c>
      <c r="H485" s="1" t="s">
        <v>134</v>
      </c>
      <c r="I485" s="1" t="s">
        <v>134</v>
      </c>
      <c r="J485" s="1" t="s">
        <v>134</v>
      </c>
      <c r="K485" s="1" t="s">
        <v>134</v>
      </c>
      <c r="L485" s="10" t="s">
        <v>135</v>
      </c>
      <c r="M485" s="11" t="str">
        <f t="shared" si="33"/>
        <v>—</v>
      </c>
      <c r="N485" s="1" t="str">
        <f t="shared" si="34"/>
        <v>006Rg00000cHBSlIAO</v>
      </c>
    </row>
    <row r="486" spans="1:14" x14ac:dyDescent="0.4">
      <c r="A486" s="1">
        <v>5</v>
      </c>
      <c r="B486" s="1">
        <v>29</v>
      </c>
      <c r="C486" s="1" t="s">
        <v>1063</v>
      </c>
      <c r="D486" s="1" t="s">
        <v>2</v>
      </c>
      <c r="E486" s="1" t="s">
        <v>134</v>
      </c>
      <c r="F486" s="1" t="s">
        <v>134</v>
      </c>
      <c r="G486" s="11" t="e">
        <f>_xlfn.XLOOKUP(M486,'Code Catagories'!A:A,'Code Catagories'!C:C)</f>
        <v>#N/A</v>
      </c>
      <c r="H486" s="1" t="s">
        <v>134</v>
      </c>
      <c r="I486" s="1" t="s">
        <v>134</v>
      </c>
      <c r="J486" s="1" t="s">
        <v>134</v>
      </c>
      <c r="K486" s="1" t="s">
        <v>134</v>
      </c>
      <c r="L486" s="10" t="s">
        <v>135</v>
      </c>
      <c r="M486" s="11" t="str">
        <f t="shared" si="33"/>
        <v>—</v>
      </c>
      <c r="N486" s="1" t="str">
        <f t="shared" si="34"/>
        <v>006Rg00000chBYcIAM</v>
      </c>
    </row>
    <row r="487" spans="1:14" x14ac:dyDescent="0.4">
      <c r="A487" s="1">
        <v>5</v>
      </c>
      <c r="B487" s="1">
        <v>29</v>
      </c>
      <c r="C487" s="1" t="s">
        <v>1064</v>
      </c>
      <c r="D487" s="1" t="s">
        <v>1</v>
      </c>
      <c r="E487" s="1" t="s">
        <v>855</v>
      </c>
      <c r="F487" s="1" t="s">
        <v>134</v>
      </c>
      <c r="G487" s="11" t="e">
        <f>_xlfn.XLOOKUP(M487,'Code Catagories'!A:A,'Code Catagories'!C:C)</f>
        <v>#N/A</v>
      </c>
      <c r="H487" s="1" t="s">
        <v>134</v>
      </c>
      <c r="I487" s="1" t="s">
        <v>134</v>
      </c>
      <c r="J487" s="1" t="s">
        <v>134</v>
      </c>
      <c r="K487" s="1" t="s">
        <v>134</v>
      </c>
      <c r="L487" s="10" t="s">
        <v>135</v>
      </c>
      <c r="M487" s="11" t="str">
        <f t="shared" si="33"/>
        <v>—</v>
      </c>
      <c r="N487" s="1" t="str">
        <f t="shared" si="34"/>
        <v>006Rg00000chDozIAE</v>
      </c>
    </row>
    <row r="488" spans="1:14" x14ac:dyDescent="0.4">
      <c r="A488" s="1">
        <v>5</v>
      </c>
      <c r="B488" s="1">
        <v>29</v>
      </c>
      <c r="C488" s="1" t="s">
        <v>1065</v>
      </c>
      <c r="D488" s="1" t="s">
        <v>2</v>
      </c>
      <c r="E488" s="1" t="s">
        <v>500</v>
      </c>
      <c r="F488" s="1" t="s">
        <v>134</v>
      </c>
      <c r="G488" s="11" t="e">
        <f>_xlfn.XLOOKUP(M488,'Code Catagories'!A:A,'Code Catagories'!C:C)</f>
        <v>#N/A</v>
      </c>
      <c r="H488" s="1" t="s">
        <v>134</v>
      </c>
      <c r="I488" s="1" t="s">
        <v>134</v>
      </c>
      <c r="J488" s="1" t="s">
        <v>134</v>
      </c>
      <c r="K488" s="1" t="s">
        <v>134</v>
      </c>
      <c r="L488" s="10" t="s">
        <v>135</v>
      </c>
      <c r="M488" s="11" t="str">
        <f t="shared" si="33"/>
        <v>—</v>
      </c>
      <c r="N488" s="1" t="str">
        <f t="shared" si="34"/>
        <v>006Rg00000cHfdbIAC</v>
      </c>
    </row>
    <row r="489" spans="1:14" x14ac:dyDescent="0.4">
      <c r="A489" s="1">
        <v>5</v>
      </c>
      <c r="B489" s="1">
        <v>29</v>
      </c>
      <c r="C489" s="1" t="s">
        <v>1066</v>
      </c>
      <c r="D489" s="1" t="s">
        <v>1</v>
      </c>
      <c r="E489" s="1" t="s">
        <v>876</v>
      </c>
      <c r="F489" s="1" t="s">
        <v>134</v>
      </c>
      <c r="G489" s="11" t="e">
        <f>_xlfn.XLOOKUP(M489,'Code Catagories'!A:A,'Code Catagories'!C:C)</f>
        <v>#N/A</v>
      </c>
      <c r="H489" s="1" t="s">
        <v>134</v>
      </c>
      <c r="I489" s="1" t="s">
        <v>134</v>
      </c>
      <c r="J489" s="1" t="s">
        <v>134</v>
      </c>
      <c r="K489" s="1" t="s">
        <v>134</v>
      </c>
      <c r="L489" s="10" t="s">
        <v>135</v>
      </c>
      <c r="M489" s="11" t="str">
        <f t="shared" si="33"/>
        <v>—</v>
      </c>
      <c r="N489" s="1" t="str">
        <f t="shared" si="34"/>
        <v>006Rg00000cHkJtIAK</v>
      </c>
    </row>
    <row r="490" spans="1:14" ht="43.75" x14ac:dyDescent="0.4">
      <c r="A490" s="1">
        <v>5</v>
      </c>
      <c r="B490" s="1">
        <v>29</v>
      </c>
      <c r="C490" s="1" t="s">
        <v>1067</v>
      </c>
      <c r="D490" s="1" t="s">
        <v>2</v>
      </c>
      <c r="E490" s="1" t="s">
        <v>1068</v>
      </c>
      <c r="F490" s="1" t="s">
        <v>192</v>
      </c>
      <c r="G490" s="11" t="str">
        <f>_xlfn.XLOOKUP(M490,'Code Catagories'!A:A,'Code Catagories'!C:C)</f>
        <v>4D. Contract Mechanics</v>
      </c>
      <c r="H490" s="1" t="s">
        <v>134</v>
      </c>
      <c r="I490" s="1" t="s">
        <v>193</v>
      </c>
      <c r="J490" s="1" t="s">
        <v>203</v>
      </c>
      <c r="K490" s="1" t="s">
        <v>141</v>
      </c>
      <c r="L490" s="10" t="s">
        <v>1069</v>
      </c>
      <c r="M490" s="11" t="str">
        <f t="shared" si="33"/>
        <v>4D</v>
      </c>
      <c r="N490" s="1" t="str">
        <f t="shared" si="34"/>
        <v>006Rg00000cHos9IAC</v>
      </c>
    </row>
    <row r="491" spans="1:14" ht="43.75" x14ac:dyDescent="0.4">
      <c r="A491" s="1">
        <v>5</v>
      </c>
      <c r="B491" s="1">
        <v>29</v>
      </c>
      <c r="C491" s="1" t="s">
        <v>1070</v>
      </c>
      <c r="D491" s="1" t="s">
        <v>1</v>
      </c>
      <c r="E491" s="1" t="s">
        <v>1071</v>
      </c>
      <c r="F491" s="1" t="s">
        <v>137</v>
      </c>
      <c r="G491" s="11" t="str">
        <f>_xlfn.XLOOKUP(M491,'Code Catagories'!A:A,'Code Catagories'!C:C)</f>
        <v>4B. Ancillary Fees</v>
      </c>
      <c r="H491" s="1" t="s">
        <v>134</v>
      </c>
      <c r="I491" s="1" t="s">
        <v>627</v>
      </c>
      <c r="J491" s="1" t="s">
        <v>203</v>
      </c>
      <c r="K491" s="1" t="s">
        <v>141</v>
      </c>
      <c r="L491" s="10" t="s">
        <v>1072</v>
      </c>
      <c r="M491" s="11" t="str">
        <f t="shared" si="33"/>
        <v>4B</v>
      </c>
      <c r="N491" s="1" t="str">
        <f t="shared" si="34"/>
        <v>006Rg00000chpRBIAY</v>
      </c>
    </row>
    <row r="492" spans="1:14" x14ac:dyDescent="0.4">
      <c r="A492" s="1">
        <v>5</v>
      </c>
      <c r="B492" s="1">
        <v>30</v>
      </c>
      <c r="C492" s="1" t="s">
        <v>1073</v>
      </c>
      <c r="D492" s="1" t="s">
        <v>2</v>
      </c>
      <c r="E492" s="1" t="s">
        <v>134</v>
      </c>
      <c r="F492" s="1" t="s">
        <v>134</v>
      </c>
      <c r="G492" s="11" t="e">
        <f>_xlfn.XLOOKUP(M492,'Code Catagories'!A:A,'Code Catagories'!C:C)</f>
        <v>#N/A</v>
      </c>
      <c r="H492" s="1" t="s">
        <v>134</v>
      </c>
      <c r="I492" s="1" t="s">
        <v>134</v>
      </c>
      <c r="J492" s="1" t="s">
        <v>134</v>
      </c>
      <c r="K492" s="1" t="s">
        <v>134</v>
      </c>
      <c r="L492" s="10" t="s">
        <v>135</v>
      </c>
      <c r="M492" s="11" t="str">
        <f t="shared" ref="M492:M502" si="35">TRIM(F492)</f>
        <v>—</v>
      </c>
      <c r="N492" s="1" t="str">
        <f t="shared" ref="N492:N502" si="36">TRIM(C492)</f>
        <v>006Rg00000chrBFIAY</v>
      </c>
    </row>
    <row r="493" spans="1:14" ht="29.15" x14ac:dyDescent="0.4">
      <c r="A493" s="1">
        <v>5</v>
      </c>
      <c r="B493" s="1">
        <v>30</v>
      </c>
      <c r="C493" s="1" t="s">
        <v>1074</v>
      </c>
      <c r="D493" s="1" t="s">
        <v>2</v>
      </c>
      <c r="E493" s="1" t="s">
        <v>513</v>
      </c>
      <c r="F493" s="1" t="s">
        <v>222</v>
      </c>
      <c r="G493" s="11" t="str">
        <f>_xlfn.XLOOKUP(M493,'Code Catagories'!A:A,'Code Catagories'!C:C)</f>
        <v>4C. Commercial Model</v>
      </c>
      <c r="H493" s="1" t="s">
        <v>134</v>
      </c>
      <c r="I493" s="1" t="s">
        <v>223</v>
      </c>
      <c r="J493" s="1" t="s">
        <v>224</v>
      </c>
      <c r="K493" s="1" t="s">
        <v>141</v>
      </c>
      <c r="L493" s="10" t="s">
        <v>1075</v>
      </c>
      <c r="M493" s="11" t="str">
        <f t="shared" si="35"/>
        <v>4C</v>
      </c>
      <c r="N493" s="1" t="str">
        <f t="shared" si="36"/>
        <v>006Rg00000chrUbIAI</v>
      </c>
    </row>
    <row r="494" spans="1:14" ht="29.15" x14ac:dyDescent="0.4">
      <c r="A494" s="1">
        <v>5</v>
      </c>
      <c r="B494" s="1">
        <v>30</v>
      </c>
      <c r="C494" s="1" t="s">
        <v>1076</v>
      </c>
      <c r="D494" s="1" t="s">
        <v>1</v>
      </c>
      <c r="E494" s="1" t="s">
        <v>1077</v>
      </c>
      <c r="F494" s="1" t="s">
        <v>222</v>
      </c>
      <c r="G494" s="11" t="str">
        <f>_xlfn.XLOOKUP(M494,'Code Catagories'!A:A,'Code Catagories'!C:C)</f>
        <v>4C. Commercial Model</v>
      </c>
      <c r="H494" s="1" t="s">
        <v>134</v>
      </c>
      <c r="I494" s="1" t="s">
        <v>223</v>
      </c>
      <c r="J494" s="1" t="s">
        <v>224</v>
      </c>
      <c r="K494" s="1" t="s">
        <v>141</v>
      </c>
      <c r="L494" s="10" t="s">
        <v>1078</v>
      </c>
      <c r="M494" s="11" t="str">
        <f t="shared" si="35"/>
        <v>4C</v>
      </c>
      <c r="N494" s="1" t="str">
        <f t="shared" si="36"/>
        <v>006Rg00000cHZMtIAO</v>
      </c>
    </row>
    <row r="495" spans="1:14" x14ac:dyDescent="0.4">
      <c r="A495" s="1">
        <v>5</v>
      </c>
      <c r="B495" s="1">
        <v>30</v>
      </c>
      <c r="C495" s="1" t="s">
        <v>1079</v>
      </c>
      <c r="D495" s="1" t="s">
        <v>1</v>
      </c>
      <c r="E495" s="1" t="s">
        <v>1080</v>
      </c>
      <c r="F495" s="1" t="s">
        <v>134</v>
      </c>
      <c r="G495" s="11" t="e">
        <f>_xlfn.XLOOKUP(M495,'Code Catagories'!A:A,'Code Catagories'!C:C)</f>
        <v>#N/A</v>
      </c>
      <c r="H495" s="1" t="s">
        <v>134</v>
      </c>
      <c r="I495" s="1" t="s">
        <v>134</v>
      </c>
      <c r="J495" s="1" t="s">
        <v>134</v>
      </c>
      <c r="K495" s="1" t="s">
        <v>134</v>
      </c>
      <c r="L495" s="10" t="s">
        <v>135</v>
      </c>
      <c r="M495" s="11" t="str">
        <f t="shared" si="35"/>
        <v>—</v>
      </c>
      <c r="N495" s="1" t="str">
        <f t="shared" si="36"/>
        <v>006Rg00000cI1PZIA0</v>
      </c>
    </row>
    <row r="496" spans="1:14" x14ac:dyDescent="0.4">
      <c r="A496" s="1">
        <v>5</v>
      </c>
      <c r="B496" s="1">
        <v>30</v>
      </c>
      <c r="C496" s="1" t="s">
        <v>1081</v>
      </c>
      <c r="D496" s="1" t="s">
        <v>2</v>
      </c>
      <c r="E496" s="1" t="s">
        <v>1082</v>
      </c>
      <c r="F496" s="1" t="s">
        <v>134</v>
      </c>
      <c r="G496" s="11" t="e">
        <f>_xlfn.XLOOKUP(M496,'Code Catagories'!A:A,'Code Catagories'!C:C)</f>
        <v>#N/A</v>
      </c>
      <c r="H496" s="1" t="s">
        <v>134</v>
      </c>
      <c r="I496" s="1" t="s">
        <v>134</v>
      </c>
      <c r="J496" s="1" t="s">
        <v>134</v>
      </c>
      <c r="K496" s="1" t="s">
        <v>134</v>
      </c>
      <c r="L496" s="10" t="s">
        <v>135</v>
      </c>
      <c r="M496" s="11" t="str">
        <f t="shared" si="35"/>
        <v>—</v>
      </c>
      <c r="N496" s="1" t="str">
        <f t="shared" si="36"/>
        <v>006Rg00000ci2g9IAA</v>
      </c>
    </row>
    <row r="497" spans="1:14" x14ac:dyDescent="0.4">
      <c r="A497" s="1">
        <v>5</v>
      </c>
      <c r="B497" s="1">
        <v>30</v>
      </c>
      <c r="C497" s="1" t="s">
        <v>1083</v>
      </c>
      <c r="D497" s="1" t="s">
        <v>1</v>
      </c>
      <c r="E497" s="1" t="s">
        <v>1084</v>
      </c>
      <c r="F497" s="1" t="s">
        <v>134</v>
      </c>
      <c r="G497" s="11" t="e">
        <f>_xlfn.XLOOKUP(M497,'Code Catagories'!A:A,'Code Catagories'!C:C)</f>
        <v>#N/A</v>
      </c>
      <c r="H497" s="1" t="s">
        <v>134</v>
      </c>
      <c r="I497" s="1" t="s">
        <v>134</v>
      </c>
      <c r="J497" s="1" t="s">
        <v>134</v>
      </c>
      <c r="K497" s="1" t="s">
        <v>134</v>
      </c>
      <c r="L497" s="10" t="s">
        <v>135</v>
      </c>
      <c r="M497" s="11" t="str">
        <f t="shared" si="35"/>
        <v>—</v>
      </c>
      <c r="N497" s="1" t="str">
        <f t="shared" si="36"/>
        <v>006Rg00000cINJdIAO</v>
      </c>
    </row>
    <row r="498" spans="1:14" x14ac:dyDescent="0.4">
      <c r="A498" s="1">
        <v>5</v>
      </c>
      <c r="B498" s="1">
        <v>30</v>
      </c>
      <c r="C498" s="1" t="s">
        <v>1085</v>
      </c>
      <c r="D498" s="1" t="s">
        <v>1</v>
      </c>
      <c r="E498" s="1" t="s">
        <v>1086</v>
      </c>
      <c r="F498" s="1" t="s">
        <v>134</v>
      </c>
      <c r="G498" s="11" t="e">
        <f>_xlfn.XLOOKUP(M498,'Code Catagories'!A:A,'Code Catagories'!C:C)</f>
        <v>#N/A</v>
      </c>
      <c r="H498" s="1" t="s">
        <v>134</v>
      </c>
      <c r="I498" s="1" t="s">
        <v>134</v>
      </c>
      <c r="J498" s="1" t="s">
        <v>134</v>
      </c>
      <c r="K498" s="1" t="s">
        <v>134</v>
      </c>
      <c r="L498" s="10" t="s">
        <v>135</v>
      </c>
      <c r="M498" s="11" t="str">
        <f t="shared" si="35"/>
        <v>—</v>
      </c>
      <c r="N498" s="1" t="str">
        <f t="shared" si="36"/>
        <v>006Rg00000cIudlIAC</v>
      </c>
    </row>
    <row r="499" spans="1:14" ht="43.75" x14ac:dyDescent="0.4">
      <c r="A499" s="1">
        <v>5</v>
      </c>
      <c r="B499" s="1">
        <v>30</v>
      </c>
      <c r="C499" s="1" t="s">
        <v>1087</v>
      </c>
      <c r="D499" s="1" t="s">
        <v>2</v>
      </c>
      <c r="E499" s="1" t="s">
        <v>134</v>
      </c>
      <c r="F499" s="1" t="s">
        <v>222</v>
      </c>
      <c r="G499" s="11" t="str">
        <f>_xlfn.XLOOKUP(M499,'Code Catagories'!A:A,'Code Catagories'!C:C)</f>
        <v>4C. Commercial Model</v>
      </c>
      <c r="H499" s="1" t="s">
        <v>134</v>
      </c>
      <c r="I499" s="1" t="s">
        <v>279</v>
      </c>
      <c r="J499" s="1" t="s">
        <v>203</v>
      </c>
      <c r="K499" s="1" t="s">
        <v>141</v>
      </c>
      <c r="L499" s="10" t="s">
        <v>1088</v>
      </c>
      <c r="M499" s="11" t="str">
        <f t="shared" si="35"/>
        <v>4C</v>
      </c>
      <c r="N499" s="1" t="str">
        <f t="shared" si="36"/>
        <v>006Rg00000cIVE7IAO</v>
      </c>
    </row>
    <row r="500" spans="1:14" x14ac:dyDescent="0.4">
      <c r="A500" s="1">
        <v>5</v>
      </c>
      <c r="B500" s="1">
        <v>30</v>
      </c>
      <c r="C500" s="1" t="s">
        <v>1089</v>
      </c>
      <c r="D500" s="1" t="s">
        <v>2</v>
      </c>
      <c r="E500" s="1" t="s">
        <v>134</v>
      </c>
      <c r="F500" s="1" t="s">
        <v>134</v>
      </c>
      <c r="G500" s="11" t="e">
        <f>_xlfn.XLOOKUP(M500,'Code Catagories'!A:A,'Code Catagories'!C:C)</f>
        <v>#N/A</v>
      </c>
      <c r="H500" s="1" t="s">
        <v>134</v>
      </c>
      <c r="I500" s="1" t="s">
        <v>134</v>
      </c>
      <c r="J500" s="1" t="s">
        <v>134</v>
      </c>
      <c r="K500" s="1" t="s">
        <v>134</v>
      </c>
      <c r="L500" s="10" t="s">
        <v>135</v>
      </c>
      <c r="M500" s="11" t="str">
        <f t="shared" si="35"/>
        <v>—</v>
      </c>
      <c r="N500" s="1" t="str">
        <f t="shared" si="36"/>
        <v>006Rg00000cJ0EZIA0</v>
      </c>
    </row>
    <row r="501" spans="1:14" ht="43.75" x14ac:dyDescent="0.4">
      <c r="A501" s="1">
        <v>5</v>
      </c>
      <c r="B501" s="1">
        <v>30</v>
      </c>
      <c r="C501" s="1" t="s">
        <v>1090</v>
      </c>
      <c r="D501" s="1" t="s">
        <v>1</v>
      </c>
      <c r="E501" s="1" t="s">
        <v>1091</v>
      </c>
      <c r="F501" s="1" t="s">
        <v>222</v>
      </c>
      <c r="G501" s="11" t="str">
        <f>_xlfn.XLOOKUP(M501,'Code Catagories'!A:A,'Code Catagories'!C:C)</f>
        <v>4C. Commercial Model</v>
      </c>
      <c r="H501" s="1" t="s">
        <v>134</v>
      </c>
      <c r="I501" s="1" t="s">
        <v>223</v>
      </c>
      <c r="J501" s="1" t="s">
        <v>224</v>
      </c>
      <c r="K501" s="1" t="s">
        <v>141</v>
      </c>
      <c r="L501" s="10" t="s">
        <v>1092</v>
      </c>
      <c r="M501" s="11" t="str">
        <f t="shared" si="35"/>
        <v>4C</v>
      </c>
      <c r="N501" s="1" t="str">
        <f t="shared" si="36"/>
        <v>006Rg00000cjcUsIAI</v>
      </c>
    </row>
    <row r="502" spans="1:14" ht="29.15" x14ac:dyDescent="0.4">
      <c r="A502" s="1">
        <v>5</v>
      </c>
      <c r="B502" s="1">
        <v>30</v>
      </c>
      <c r="C502" s="1" t="s">
        <v>1093</v>
      </c>
      <c r="D502" s="1" t="s">
        <v>2</v>
      </c>
      <c r="E502" s="1" t="s">
        <v>1094</v>
      </c>
      <c r="F502" s="1" t="s">
        <v>137</v>
      </c>
      <c r="G502" s="11" t="str">
        <f>_xlfn.XLOOKUP(M502,'Code Catagories'!A:A,'Code Catagories'!C:C)</f>
        <v>4B. Ancillary Fees</v>
      </c>
      <c r="H502" s="1" t="s">
        <v>134</v>
      </c>
      <c r="I502" s="1" t="s">
        <v>228</v>
      </c>
      <c r="J502" s="1" t="s">
        <v>203</v>
      </c>
      <c r="K502" s="1" t="s">
        <v>141</v>
      </c>
      <c r="L502" s="10" t="s">
        <v>1095</v>
      </c>
      <c r="M502" s="11" t="str">
        <f t="shared" si="35"/>
        <v>4B</v>
      </c>
      <c r="N502" s="1" t="str">
        <f t="shared" si="36"/>
        <v>006Rg00000cjkf8IAA</v>
      </c>
    </row>
    <row r="503" spans="1:14" x14ac:dyDescent="0.4">
      <c r="A503" s="1">
        <v>5</v>
      </c>
      <c r="B503" s="1">
        <v>31</v>
      </c>
      <c r="C503" s="1" t="s">
        <v>1096</v>
      </c>
      <c r="D503" s="1" t="s">
        <v>1</v>
      </c>
      <c r="E503" s="1" t="s">
        <v>134</v>
      </c>
      <c r="F503" s="1" t="s">
        <v>134</v>
      </c>
      <c r="G503" s="11" t="e">
        <f>_xlfn.XLOOKUP(M503,'Code Catagories'!A:A,'Code Catagories'!C:C)</f>
        <v>#N/A</v>
      </c>
      <c r="H503" s="1" t="s">
        <v>134</v>
      </c>
      <c r="I503" s="1" t="s">
        <v>134</v>
      </c>
      <c r="J503" s="1" t="s">
        <v>134</v>
      </c>
      <c r="K503" s="1" t="s">
        <v>134</v>
      </c>
      <c r="L503" s="10" t="s">
        <v>135</v>
      </c>
      <c r="M503" s="11" t="str">
        <f t="shared" ref="M503:M509" si="37">TRIM(F503)</f>
        <v>—</v>
      </c>
      <c r="N503" s="1" t="str">
        <f t="shared" ref="N503:N509" si="38">TRIM(C503)</f>
        <v>006Rg00000cjmvSIAQ</v>
      </c>
    </row>
    <row r="504" spans="1:14" ht="29.15" x14ac:dyDescent="0.4">
      <c r="A504" s="1">
        <v>5</v>
      </c>
      <c r="B504" s="1">
        <v>31</v>
      </c>
      <c r="C504" s="1" t="s">
        <v>1097</v>
      </c>
      <c r="D504" s="1" t="s">
        <v>1</v>
      </c>
      <c r="E504" s="1" t="s">
        <v>1098</v>
      </c>
      <c r="F504" s="1" t="s">
        <v>222</v>
      </c>
      <c r="G504" s="11" t="str">
        <f>_xlfn.XLOOKUP(M504,'Code Catagories'!A:A,'Code Catagories'!C:C)</f>
        <v>4C. Commercial Model</v>
      </c>
      <c r="H504" s="1" t="s">
        <v>134</v>
      </c>
      <c r="I504" s="1" t="s">
        <v>223</v>
      </c>
      <c r="J504" s="1" t="s">
        <v>224</v>
      </c>
      <c r="K504" s="1" t="s">
        <v>148</v>
      </c>
      <c r="L504" s="10" t="s">
        <v>1099</v>
      </c>
      <c r="M504" s="11" t="str">
        <f t="shared" si="37"/>
        <v>4C</v>
      </c>
      <c r="N504" s="1" t="str">
        <f t="shared" si="38"/>
        <v>006Rg00000cjvfNIAQ</v>
      </c>
    </row>
    <row r="505" spans="1:14" ht="43.75" x14ac:dyDescent="0.4">
      <c r="A505" s="1">
        <v>5</v>
      </c>
      <c r="B505" s="1">
        <v>31</v>
      </c>
      <c r="C505" s="1" t="s">
        <v>1100</v>
      </c>
      <c r="D505" s="1" t="s">
        <v>1</v>
      </c>
      <c r="E505" s="1" t="s">
        <v>1101</v>
      </c>
      <c r="F505" s="1" t="s">
        <v>222</v>
      </c>
      <c r="G505" s="11" t="str">
        <f>_xlfn.XLOOKUP(M505,'Code Catagories'!A:A,'Code Catagories'!C:C)</f>
        <v>4C. Commercial Model</v>
      </c>
      <c r="H505" s="1" t="s">
        <v>134</v>
      </c>
      <c r="I505" s="1" t="s">
        <v>321</v>
      </c>
      <c r="J505" s="1" t="s">
        <v>203</v>
      </c>
      <c r="K505" s="1" t="s">
        <v>141</v>
      </c>
      <c r="L505" s="10" t="s">
        <v>1102</v>
      </c>
      <c r="M505" s="11" t="str">
        <f t="shared" si="37"/>
        <v>4C</v>
      </c>
      <c r="N505" s="1" t="str">
        <f t="shared" si="38"/>
        <v>006Rg00000ck101IAA</v>
      </c>
    </row>
    <row r="506" spans="1:14" x14ac:dyDescent="0.4">
      <c r="A506" s="1">
        <v>5</v>
      </c>
      <c r="B506" s="1">
        <v>31</v>
      </c>
      <c r="C506" s="1" t="s">
        <v>1103</v>
      </c>
      <c r="D506" s="1" t="s">
        <v>1</v>
      </c>
      <c r="E506" s="1" t="s">
        <v>1104</v>
      </c>
      <c r="F506" s="1" t="s">
        <v>134</v>
      </c>
      <c r="G506" s="11" t="e">
        <f>_xlfn.XLOOKUP(M506,'Code Catagories'!A:A,'Code Catagories'!C:C)</f>
        <v>#N/A</v>
      </c>
      <c r="H506" s="1" t="s">
        <v>134</v>
      </c>
      <c r="I506" s="1" t="s">
        <v>134</v>
      </c>
      <c r="J506" s="1" t="s">
        <v>134</v>
      </c>
      <c r="K506" s="1" t="s">
        <v>134</v>
      </c>
      <c r="L506" s="10" t="s">
        <v>135</v>
      </c>
      <c r="M506" s="11" t="str">
        <f t="shared" si="37"/>
        <v>—</v>
      </c>
      <c r="N506" s="1" t="str">
        <f t="shared" si="38"/>
        <v>006Rg00000ckayhIAA</v>
      </c>
    </row>
    <row r="507" spans="1:14" x14ac:dyDescent="0.4">
      <c r="A507" s="1">
        <v>5</v>
      </c>
      <c r="B507" s="1">
        <v>31</v>
      </c>
      <c r="C507" s="1" t="s">
        <v>1105</v>
      </c>
      <c r="D507" s="1" t="s">
        <v>1</v>
      </c>
      <c r="E507" s="1" t="s">
        <v>134</v>
      </c>
      <c r="F507" s="1" t="s">
        <v>134</v>
      </c>
      <c r="G507" s="11" t="e">
        <f>_xlfn.XLOOKUP(M507,'Code Catagories'!A:A,'Code Catagories'!C:C)</f>
        <v>#N/A</v>
      </c>
      <c r="H507" s="1" t="s">
        <v>134</v>
      </c>
      <c r="I507" s="1" t="s">
        <v>134</v>
      </c>
      <c r="J507" s="1" t="s">
        <v>134</v>
      </c>
      <c r="K507" s="1" t="s">
        <v>134</v>
      </c>
      <c r="L507" s="10" t="s">
        <v>135</v>
      </c>
      <c r="M507" s="11" t="str">
        <f t="shared" si="37"/>
        <v>—</v>
      </c>
      <c r="N507" s="1" t="str">
        <f t="shared" si="38"/>
        <v>006Rg00000ckccHIAQ</v>
      </c>
    </row>
    <row r="508" spans="1:14" x14ac:dyDescent="0.4">
      <c r="A508" s="1">
        <v>5</v>
      </c>
      <c r="B508" s="1">
        <v>31</v>
      </c>
      <c r="C508" s="1" t="s">
        <v>1106</v>
      </c>
      <c r="D508" s="1" t="s">
        <v>1</v>
      </c>
      <c r="E508" s="1" t="s">
        <v>134</v>
      </c>
      <c r="F508" s="1" t="s">
        <v>134</v>
      </c>
      <c r="G508" s="11" t="e">
        <f>_xlfn.XLOOKUP(M508,'Code Catagories'!A:A,'Code Catagories'!C:C)</f>
        <v>#N/A</v>
      </c>
      <c r="H508" s="1" t="s">
        <v>134</v>
      </c>
      <c r="I508" s="1" t="s">
        <v>134</v>
      </c>
      <c r="J508" s="1" t="s">
        <v>134</v>
      </c>
      <c r="K508" s="1" t="s">
        <v>134</v>
      </c>
      <c r="L508" s="10" t="s">
        <v>135</v>
      </c>
      <c r="M508" s="11" t="str">
        <f t="shared" si="37"/>
        <v>—</v>
      </c>
      <c r="N508" s="1" t="str">
        <f t="shared" si="38"/>
        <v>006Rg00000ckLjVIAU</v>
      </c>
    </row>
    <row r="509" spans="1:14" x14ac:dyDescent="0.4">
      <c r="A509" s="1">
        <v>5</v>
      </c>
      <c r="B509" s="1">
        <v>31</v>
      </c>
      <c r="C509" s="1" t="s">
        <v>1107</v>
      </c>
      <c r="D509" s="1" t="s">
        <v>2</v>
      </c>
      <c r="E509" s="1" t="s">
        <v>134</v>
      </c>
      <c r="F509" s="1" t="s">
        <v>134</v>
      </c>
      <c r="G509" s="11" t="e">
        <f>_xlfn.XLOOKUP(M509,'Code Catagories'!A:A,'Code Catagories'!C:C)</f>
        <v>#N/A</v>
      </c>
      <c r="H509" s="1" t="s">
        <v>134</v>
      </c>
      <c r="I509" s="1" t="s">
        <v>134</v>
      </c>
      <c r="J509" s="1" t="s">
        <v>134</v>
      </c>
      <c r="K509" s="1" t="s">
        <v>134</v>
      </c>
      <c r="L509" s="10" t="s">
        <v>135</v>
      </c>
      <c r="M509" s="11" t="str">
        <f t="shared" si="37"/>
        <v>—</v>
      </c>
      <c r="N509" s="1" t="str">
        <f t="shared" si="38"/>
        <v>006Rg00000cknpaIAA</v>
      </c>
    </row>
    <row r="510" spans="1:14" x14ac:dyDescent="0.4">
      <c r="A510" s="1">
        <v>5</v>
      </c>
      <c r="B510" s="1">
        <v>31</v>
      </c>
      <c r="C510" s="1" t="s">
        <v>1108</v>
      </c>
      <c r="D510" s="1" t="s">
        <v>1</v>
      </c>
      <c r="E510" s="1" t="s">
        <v>134</v>
      </c>
      <c r="F510" s="1" t="s">
        <v>134</v>
      </c>
      <c r="G510" s="11" t="e">
        <f>_xlfn.XLOOKUP(M510,'Code Catagories'!A:A,'Code Catagories'!C:C)</f>
        <v>#N/A</v>
      </c>
      <c r="H510" s="1" t="s">
        <v>134</v>
      </c>
      <c r="I510" s="1" t="s">
        <v>134</v>
      </c>
      <c r="J510" s="1" t="s">
        <v>134</v>
      </c>
      <c r="K510" s="1" t="s">
        <v>134</v>
      </c>
      <c r="L510" s="10" t="s">
        <v>135</v>
      </c>
      <c r="M510" s="11" t="str">
        <f t="shared" ref="M510:M517" si="39">TRIM(F510)</f>
        <v>—</v>
      </c>
      <c r="N510" s="1" t="str">
        <f t="shared" ref="N510:N517" si="40">TRIM(C510)</f>
        <v>006Rg00000ckpeMIAQ</v>
      </c>
    </row>
    <row r="511" spans="1:14" x14ac:dyDescent="0.4">
      <c r="A511" s="1">
        <v>5</v>
      </c>
      <c r="B511" s="1">
        <v>31</v>
      </c>
      <c r="C511" s="1" t="s">
        <v>1109</v>
      </c>
      <c r="D511" s="1" t="s">
        <v>1</v>
      </c>
      <c r="E511" s="1" t="s">
        <v>1110</v>
      </c>
      <c r="F511" s="1" t="s">
        <v>134</v>
      </c>
      <c r="G511" s="11" t="e">
        <f>_xlfn.XLOOKUP(M511,'Code Catagories'!A:A,'Code Catagories'!C:C)</f>
        <v>#N/A</v>
      </c>
      <c r="H511" s="1" t="s">
        <v>134</v>
      </c>
      <c r="I511" s="1" t="s">
        <v>134</v>
      </c>
      <c r="J511" s="1" t="s">
        <v>134</v>
      </c>
      <c r="K511" s="1" t="s">
        <v>134</v>
      </c>
      <c r="L511" s="10" t="s">
        <v>135</v>
      </c>
      <c r="M511" s="11" t="str">
        <f t="shared" si="39"/>
        <v>—</v>
      </c>
      <c r="N511" s="1" t="str">
        <f t="shared" si="40"/>
        <v>006Rg00000cks1AIAQ</v>
      </c>
    </row>
    <row r="512" spans="1:14" x14ac:dyDescent="0.4">
      <c r="A512" s="1">
        <v>5</v>
      </c>
      <c r="B512" s="1">
        <v>31</v>
      </c>
      <c r="C512" s="1" t="s">
        <v>1111</v>
      </c>
      <c r="D512" s="1" t="s">
        <v>2</v>
      </c>
      <c r="E512" s="1" t="s">
        <v>134</v>
      </c>
      <c r="F512" s="1" t="s">
        <v>134</v>
      </c>
      <c r="G512" s="11" t="e">
        <f>_xlfn.XLOOKUP(M512,'Code Catagories'!A:A,'Code Catagories'!C:C)</f>
        <v>#N/A</v>
      </c>
      <c r="H512" s="1" t="s">
        <v>134</v>
      </c>
      <c r="I512" s="1" t="s">
        <v>134</v>
      </c>
      <c r="J512" s="1" t="s">
        <v>134</v>
      </c>
      <c r="K512" s="1" t="s">
        <v>134</v>
      </c>
      <c r="L512" s="10" t="s">
        <v>135</v>
      </c>
      <c r="M512" s="11" t="str">
        <f t="shared" si="39"/>
        <v>—</v>
      </c>
      <c r="N512" s="1" t="str">
        <f t="shared" si="40"/>
        <v>006Rg00000cl1fWIAQ</v>
      </c>
    </row>
    <row r="513" spans="1:14" ht="43.75" x14ac:dyDescent="0.4">
      <c r="A513" s="1">
        <v>5</v>
      </c>
      <c r="B513" s="1">
        <v>31</v>
      </c>
      <c r="C513" s="1" t="s">
        <v>1112</v>
      </c>
      <c r="D513" s="1" t="s">
        <v>1</v>
      </c>
      <c r="E513" s="1" t="s">
        <v>416</v>
      </c>
      <c r="F513" s="1" t="s">
        <v>222</v>
      </c>
      <c r="G513" s="11" t="str">
        <f>_xlfn.XLOOKUP(M513,'Code Catagories'!A:A,'Code Catagories'!C:C)</f>
        <v>4C. Commercial Model</v>
      </c>
      <c r="H513" s="1" t="s">
        <v>134</v>
      </c>
      <c r="I513" s="1" t="s">
        <v>239</v>
      </c>
      <c r="J513" s="1" t="s">
        <v>245</v>
      </c>
      <c r="K513" s="1" t="s">
        <v>141</v>
      </c>
      <c r="L513" s="10" t="s">
        <v>1113</v>
      </c>
      <c r="M513" s="11" t="str">
        <f t="shared" si="39"/>
        <v>4C</v>
      </c>
      <c r="N513" s="1" t="str">
        <f t="shared" si="40"/>
        <v>006Rg00000cN71KIAS</v>
      </c>
    </row>
    <row r="514" spans="1:14" ht="43.75" x14ac:dyDescent="0.4">
      <c r="A514" s="1">
        <v>5</v>
      </c>
      <c r="B514" s="1">
        <v>31</v>
      </c>
      <c r="C514" s="1" t="s">
        <v>1114</v>
      </c>
      <c r="D514" s="1" t="s">
        <v>1</v>
      </c>
      <c r="E514" s="1" t="s">
        <v>1115</v>
      </c>
      <c r="F514" s="1" t="s">
        <v>222</v>
      </c>
      <c r="G514" s="11" t="str">
        <f>_xlfn.XLOOKUP(M514,'Code Catagories'!A:A,'Code Catagories'!C:C)</f>
        <v>4C. Commercial Model</v>
      </c>
      <c r="H514" s="1" t="s">
        <v>134</v>
      </c>
      <c r="I514" s="1" t="s">
        <v>223</v>
      </c>
      <c r="J514" s="1" t="s">
        <v>245</v>
      </c>
      <c r="K514" s="1" t="s">
        <v>141</v>
      </c>
      <c r="L514" s="10" t="s">
        <v>1116</v>
      </c>
      <c r="M514" s="11" t="str">
        <f t="shared" si="39"/>
        <v>4C</v>
      </c>
      <c r="N514" s="1" t="str">
        <f t="shared" si="40"/>
        <v>006Rg00000cNI81IAG</v>
      </c>
    </row>
    <row r="515" spans="1:14" x14ac:dyDescent="0.4">
      <c r="A515" s="1">
        <v>5</v>
      </c>
      <c r="B515" s="1">
        <v>31</v>
      </c>
      <c r="C515" s="1" t="s">
        <v>1117</v>
      </c>
      <c r="D515" s="1" t="s">
        <v>1</v>
      </c>
      <c r="E515" s="1" t="s">
        <v>1118</v>
      </c>
      <c r="F515" s="1" t="s">
        <v>134</v>
      </c>
      <c r="G515" s="11" t="e">
        <f>_xlfn.XLOOKUP(M515,'Code Catagories'!A:A,'Code Catagories'!C:C)</f>
        <v>#N/A</v>
      </c>
      <c r="H515" s="1" t="s">
        <v>134</v>
      </c>
      <c r="I515" s="1" t="s">
        <v>134</v>
      </c>
      <c r="J515" s="1" t="s">
        <v>134</v>
      </c>
      <c r="K515" s="1" t="s">
        <v>134</v>
      </c>
      <c r="L515" s="10" t="s">
        <v>135</v>
      </c>
      <c r="M515" s="11" t="str">
        <f t="shared" si="39"/>
        <v>—</v>
      </c>
      <c r="N515" s="1" t="str">
        <f t="shared" si="40"/>
        <v>006Rg00000cnjklIAA</v>
      </c>
    </row>
    <row r="516" spans="1:14" ht="29.15" x14ac:dyDescent="0.4">
      <c r="A516" s="1">
        <v>5</v>
      </c>
      <c r="B516" s="1">
        <v>31</v>
      </c>
      <c r="C516" s="1" t="s">
        <v>1119</v>
      </c>
      <c r="D516" s="1" t="s">
        <v>1</v>
      </c>
      <c r="E516" s="1" t="s">
        <v>1120</v>
      </c>
      <c r="F516" s="1" t="s">
        <v>222</v>
      </c>
      <c r="G516" s="11" t="str">
        <f>_xlfn.XLOOKUP(M516,'Code Catagories'!A:A,'Code Catagories'!C:C)</f>
        <v>4C. Commercial Model</v>
      </c>
      <c r="H516" s="1" t="s">
        <v>134</v>
      </c>
      <c r="I516" s="1" t="s">
        <v>239</v>
      </c>
      <c r="J516" s="1" t="s">
        <v>203</v>
      </c>
      <c r="K516" s="1" t="s">
        <v>141</v>
      </c>
      <c r="L516" s="10" t="s">
        <v>1121</v>
      </c>
      <c r="M516" s="11" t="str">
        <f t="shared" si="39"/>
        <v>4C</v>
      </c>
      <c r="N516" s="1" t="str">
        <f t="shared" si="40"/>
        <v>006Rg00000cNM3ZIAW</v>
      </c>
    </row>
    <row r="517" spans="1:14" ht="43.75" x14ac:dyDescent="0.4">
      <c r="A517" s="1">
        <v>5</v>
      </c>
      <c r="B517" s="1">
        <v>31</v>
      </c>
      <c r="C517" s="1" t="s">
        <v>1119</v>
      </c>
      <c r="D517" s="1" t="s">
        <v>1</v>
      </c>
      <c r="E517" s="1" t="s">
        <v>1120</v>
      </c>
      <c r="F517" s="1" t="s">
        <v>137</v>
      </c>
      <c r="G517" s="11" t="str">
        <f>_xlfn.XLOOKUP(M517,'Code Catagories'!A:A,'Code Catagories'!C:C)</f>
        <v>4B. Ancillary Fees</v>
      </c>
      <c r="H517" s="1" t="s">
        <v>134</v>
      </c>
      <c r="I517" s="1" t="s">
        <v>408</v>
      </c>
      <c r="J517" s="15" t="s">
        <v>245</v>
      </c>
      <c r="K517" s="1" t="s">
        <v>141</v>
      </c>
      <c r="L517" s="10" t="s">
        <v>1122</v>
      </c>
      <c r="M517" s="11" t="str">
        <f t="shared" si="39"/>
        <v>4B</v>
      </c>
      <c r="N517" s="1" t="str">
        <f t="shared" si="40"/>
        <v>006Rg00000cNM3ZIAW</v>
      </c>
    </row>
    <row r="518" spans="1:14" ht="43.75" x14ac:dyDescent="0.4">
      <c r="A518" s="1">
        <v>5</v>
      </c>
      <c r="B518" s="1">
        <v>31</v>
      </c>
      <c r="C518" s="1" t="s">
        <v>1123</v>
      </c>
      <c r="D518" s="1" t="s">
        <v>1</v>
      </c>
      <c r="E518" s="1" t="s">
        <v>1124</v>
      </c>
      <c r="F518" s="1" t="s">
        <v>222</v>
      </c>
      <c r="G518" s="11" t="str">
        <f>_xlfn.XLOOKUP(M518,'Code Catagories'!A:A,'Code Catagories'!C:C)</f>
        <v>4C. Commercial Model</v>
      </c>
      <c r="H518" s="1" t="s">
        <v>134</v>
      </c>
      <c r="I518" s="1" t="s">
        <v>239</v>
      </c>
      <c r="J518" s="1" t="s">
        <v>203</v>
      </c>
      <c r="K518" s="1" t="s">
        <v>141</v>
      </c>
      <c r="L518" s="10" t="s">
        <v>1125</v>
      </c>
      <c r="M518" s="11" t="str">
        <f t="shared" ref="M518:M520" si="41">TRIM(F518)</f>
        <v>4C</v>
      </c>
      <c r="N518" s="1" t="str">
        <f t="shared" ref="N518:N520" si="42">TRIM(C518)</f>
        <v>006Rg00000cNRMbIAO</v>
      </c>
    </row>
    <row r="519" spans="1:14" ht="43.75" x14ac:dyDescent="0.4">
      <c r="A519" s="1">
        <v>5</v>
      </c>
      <c r="B519" s="1">
        <v>31</v>
      </c>
      <c r="C519" s="1" t="s">
        <v>1126</v>
      </c>
      <c r="D519" s="1" t="s">
        <v>2</v>
      </c>
      <c r="E519" s="1" t="s">
        <v>1127</v>
      </c>
      <c r="F519" s="1" t="s">
        <v>222</v>
      </c>
      <c r="G519" s="11" t="str">
        <f>_xlfn.XLOOKUP(M519,'Code Catagories'!A:A,'Code Catagories'!C:C)</f>
        <v>4C. Commercial Model</v>
      </c>
      <c r="H519" s="1" t="s">
        <v>134</v>
      </c>
      <c r="I519" s="1" t="s">
        <v>223</v>
      </c>
      <c r="J519" s="1" t="s">
        <v>224</v>
      </c>
      <c r="K519" s="1" t="s">
        <v>148</v>
      </c>
      <c r="L519" s="10" t="s">
        <v>1128</v>
      </c>
      <c r="M519" s="11" t="str">
        <f t="shared" si="41"/>
        <v>4C</v>
      </c>
      <c r="N519" s="1" t="str">
        <f t="shared" si="42"/>
        <v>006Rg00000cntThIAI</v>
      </c>
    </row>
    <row r="520" spans="1:14" x14ac:dyDescent="0.4">
      <c r="A520" s="1">
        <v>5</v>
      </c>
      <c r="B520" s="1">
        <v>31</v>
      </c>
      <c r="C520" s="1" t="s">
        <v>1129</v>
      </c>
      <c r="D520" s="1" t="s">
        <v>2</v>
      </c>
      <c r="E520" s="1" t="s">
        <v>1130</v>
      </c>
      <c r="F520" s="1" t="s">
        <v>134</v>
      </c>
      <c r="G520" s="11" t="e">
        <f>_xlfn.XLOOKUP(M520,'Code Catagories'!A:A,'Code Catagories'!C:C)</f>
        <v>#N/A</v>
      </c>
      <c r="H520" s="1" t="s">
        <v>134</v>
      </c>
      <c r="I520" s="1" t="s">
        <v>134</v>
      </c>
      <c r="J520" s="1" t="s">
        <v>134</v>
      </c>
      <c r="K520" s="1" t="s">
        <v>134</v>
      </c>
      <c r="L520" s="10" t="s">
        <v>135</v>
      </c>
      <c r="M520" s="11" t="str">
        <f t="shared" si="41"/>
        <v>—</v>
      </c>
      <c r="N520" s="1" t="str">
        <f t="shared" si="42"/>
        <v>006Rg00000cNzjFIAS</v>
      </c>
    </row>
    <row r="521" spans="1:14" x14ac:dyDescent="0.4">
      <c r="A521" s="1">
        <v>5</v>
      </c>
      <c r="B521" s="1">
        <v>32</v>
      </c>
      <c r="C521" s="1" t="s">
        <v>1131</v>
      </c>
      <c r="D521" s="1" t="s">
        <v>2</v>
      </c>
      <c r="E521" s="1" t="s">
        <v>1132</v>
      </c>
      <c r="F521" s="1" t="s">
        <v>134</v>
      </c>
      <c r="G521" s="11" t="e">
        <f>_xlfn.XLOOKUP(M521,'Code Catagories'!A:A,'Code Catagories'!C:C)</f>
        <v>#N/A</v>
      </c>
      <c r="H521" s="1" t="s">
        <v>134</v>
      </c>
      <c r="I521" s="1" t="s">
        <v>134</v>
      </c>
      <c r="J521" s="1" t="s">
        <v>134</v>
      </c>
      <c r="K521" s="1" t="s">
        <v>134</v>
      </c>
      <c r="L521" s="10" t="s">
        <v>135</v>
      </c>
      <c r="M521" s="11" t="str">
        <f t="shared" ref="M521:M529" si="43">TRIM(F521)</f>
        <v>—</v>
      </c>
      <c r="N521" s="1" t="str">
        <f t="shared" ref="N521:N529" si="44">TRIM(C521)</f>
        <v>006Rg00000cO1oHIAS</v>
      </c>
    </row>
    <row r="522" spans="1:14" ht="29.15" x14ac:dyDescent="0.4">
      <c r="A522" s="1">
        <v>5</v>
      </c>
      <c r="B522" s="1">
        <v>32</v>
      </c>
      <c r="C522" s="1" t="s">
        <v>1133</v>
      </c>
      <c r="D522" s="1" t="s">
        <v>2</v>
      </c>
      <c r="E522" s="1" t="s">
        <v>467</v>
      </c>
      <c r="F522" s="1" t="s">
        <v>137</v>
      </c>
      <c r="G522" s="11" t="str">
        <f>_xlfn.XLOOKUP(M522,'Code Catagories'!A:A,'Code Catagories'!C:C)</f>
        <v>4B. Ancillary Fees</v>
      </c>
      <c r="H522" s="1" t="s">
        <v>134</v>
      </c>
      <c r="I522" s="1" t="s">
        <v>232</v>
      </c>
      <c r="J522" s="1" t="s">
        <v>203</v>
      </c>
      <c r="K522" s="1" t="s">
        <v>141</v>
      </c>
      <c r="L522" s="10" t="s">
        <v>1134</v>
      </c>
      <c r="M522" s="11" t="str">
        <f t="shared" si="43"/>
        <v>4B</v>
      </c>
      <c r="N522" s="1" t="str">
        <f t="shared" si="44"/>
        <v>006Rg00000co4QjIAI</v>
      </c>
    </row>
    <row r="523" spans="1:14" x14ac:dyDescent="0.4">
      <c r="A523" s="1">
        <v>5</v>
      </c>
      <c r="B523" s="1">
        <v>32</v>
      </c>
      <c r="C523" s="1" t="s">
        <v>1135</v>
      </c>
      <c r="D523" s="1" t="s">
        <v>1</v>
      </c>
      <c r="E523" s="1" t="s">
        <v>513</v>
      </c>
      <c r="F523" s="1" t="s">
        <v>134</v>
      </c>
      <c r="G523" s="11" t="e">
        <f>_xlfn.XLOOKUP(M523,'Code Catagories'!A:A,'Code Catagories'!C:C)</f>
        <v>#N/A</v>
      </c>
      <c r="H523" s="1" t="s">
        <v>134</v>
      </c>
      <c r="I523" s="1" t="s">
        <v>134</v>
      </c>
      <c r="J523" s="1" t="s">
        <v>134</v>
      </c>
      <c r="K523" s="1" t="s">
        <v>134</v>
      </c>
      <c r="L523" s="10" t="s">
        <v>135</v>
      </c>
      <c r="M523" s="11" t="str">
        <f t="shared" si="43"/>
        <v>—</v>
      </c>
      <c r="N523" s="1" t="str">
        <f t="shared" si="44"/>
        <v>006Rg00000co9wfIAA</v>
      </c>
    </row>
    <row r="524" spans="1:14" x14ac:dyDescent="0.4">
      <c r="A524" s="1">
        <v>5</v>
      </c>
      <c r="B524" s="1">
        <v>32</v>
      </c>
      <c r="C524" s="1" t="s">
        <v>1136</v>
      </c>
      <c r="D524" s="1" t="s">
        <v>1</v>
      </c>
      <c r="E524" s="1" t="s">
        <v>134</v>
      </c>
      <c r="F524" s="1" t="s">
        <v>134</v>
      </c>
      <c r="G524" s="11" t="e">
        <f>_xlfn.XLOOKUP(M524,'Code Catagories'!A:A,'Code Catagories'!C:C)</f>
        <v>#N/A</v>
      </c>
      <c r="H524" s="1" t="s">
        <v>134</v>
      </c>
      <c r="I524" s="1" t="s">
        <v>134</v>
      </c>
      <c r="J524" s="1" t="s">
        <v>134</v>
      </c>
      <c r="K524" s="1" t="s">
        <v>134</v>
      </c>
      <c r="L524" s="10" t="s">
        <v>135</v>
      </c>
      <c r="M524" s="11" t="str">
        <f t="shared" si="43"/>
        <v>—</v>
      </c>
      <c r="N524" s="1" t="str">
        <f t="shared" si="44"/>
        <v>006Rg00000cohlRIAQ</v>
      </c>
    </row>
    <row r="525" spans="1:14" ht="29.15" x14ac:dyDescent="0.4">
      <c r="A525" s="1">
        <v>5</v>
      </c>
      <c r="B525" s="1">
        <v>32</v>
      </c>
      <c r="C525" s="1" t="s">
        <v>1137</v>
      </c>
      <c r="D525" s="1" t="s">
        <v>1</v>
      </c>
      <c r="E525" s="1" t="s">
        <v>1132</v>
      </c>
      <c r="F525" s="1" t="s">
        <v>192</v>
      </c>
      <c r="G525" s="11" t="str">
        <f>_xlfn.XLOOKUP(M525,'Code Catagories'!A:A,'Code Catagories'!C:C)</f>
        <v>4D. Contract Mechanics</v>
      </c>
      <c r="H525" s="1" t="s">
        <v>138</v>
      </c>
      <c r="I525" s="1" t="s">
        <v>394</v>
      </c>
      <c r="J525" s="1" t="s">
        <v>140</v>
      </c>
      <c r="K525" s="1" t="s">
        <v>141</v>
      </c>
      <c r="L525" s="10" t="s">
        <v>1138</v>
      </c>
      <c r="M525" s="11" t="str">
        <f t="shared" si="43"/>
        <v>4D</v>
      </c>
      <c r="N525" s="1" t="str">
        <f t="shared" si="44"/>
        <v>006Rg00000cOHMnIAO</v>
      </c>
    </row>
    <row r="526" spans="1:14" ht="29.15" x14ac:dyDescent="0.4">
      <c r="A526" s="1">
        <v>5</v>
      </c>
      <c r="B526" s="1">
        <v>32</v>
      </c>
      <c r="C526" s="1" t="s">
        <v>1137</v>
      </c>
      <c r="D526" s="1" t="s">
        <v>1</v>
      </c>
      <c r="E526" s="1" t="s">
        <v>1132</v>
      </c>
      <c r="F526" s="1" t="s">
        <v>222</v>
      </c>
      <c r="G526" s="11" t="str">
        <f>_xlfn.XLOOKUP(M526,'Code Catagories'!A:A,'Code Catagories'!C:C)</f>
        <v>4C. Commercial Model</v>
      </c>
      <c r="H526" s="1" t="s">
        <v>134</v>
      </c>
      <c r="I526" s="1" t="s">
        <v>279</v>
      </c>
      <c r="J526" s="1" t="s">
        <v>203</v>
      </c>
      <c r="K526" s="1" t="s">
        <v>141</v>
      </c>
      <c r="L526" s="10" t="s">
        <v>1139</v>
      </c>
      <c r="M526" s="11" t="str">
        <f t="shared" si="43"/>
        <v>4C</v>
      </c>
      <c r="N526" s="1" t="str">
        <f t="shared" si="44"/>
        <v>006Rg00000cOHMnIAO</v>
      </c>
    </row>
    <row r="527" spans="1:14" x14ac:dyDescent="0.4">
      <c r="A527" s="1">
        <v>5</v>
      </c>
      <c r="B527" s="1">
        <v>32</v>
      </c>
      <c r="C527" s="1" t="s">
        <v>1140</v>
      </c>
      <c r="D527" s="1" t="s">
        <v>2</v>
      </c>
      <c r="E527" s="1" t="s">
        <v>1141</v>
      </c>
      <c r="F527" s="1" t="s">
        <v>134</v>
      </c>
      <c r="G527" s="11" t="e">
        <f>_xlfn.XLOOKUP(M527,'Code Catagories'!A:A,'Code Catagories'!C:C)</f>
        <v>#N/A</v>
      </c>
      <c r="H527" s="1" t="s">
        <v>134</v>
      </c>
      <c r="I527" s="1" t="s">
        <v>134</v>
      </c>
      <c r="J527" s="1" t="s">
        <v>134</v>
      </c>
      <c r="K527" s="1" t="s">
        <v>134</v>
      </c>
      <c r="L527" s="10" t="s">
        <v>135</v>
      </c>
      <c r="M527" s="11" t="str">
        <f t="shared" si="43"/>
        <v>—</v>
      </c>
      <c r="N527" s="1" t="str">
        <f t="shared" si="44"/>
        <v>006Rg00000cooTZIAY</v>
      </c>
    </row>
    <row r="528" spans="1:14" ht="43.75" x14ac:dyDescent="0.4">
      <c r="A528" s="1">
        <v>5</v>
      </c>
      <c r="B528" s="1">
        <v>32</v>
      </c>
      <c r="C528" s="1" t="s">
        <v>1142</v>
      </c>
      <c r="D528" s="1" t="s">
        <v>1</v>
      </c>
      <c r="E528" s="1" t="s">
        <v>1143</v>
      </c>
      <c r="F528" s="1" t="s">
        <v>222</v>
      </c>
      <c r="G528" s="11" t="str">
        <f>_xlfn.XLOOKUP(M528,'Code Catagories'!A:A,'Code Catagories'!C:C)</f>
        <v>4C. Commercial Model</v>
      </c>
      <c r="H528" s="1" t="s">
        <v>134</v>
      </c>
      <c r="I528" s="1" t="s">
        <v>223</v>
      </c>
      <c r="J528" s="1" t="s">
        <v>203</v>
      </c>
      <c r="K528" s="1" t="s">
        <v>141</v>
      </c>
      <c r="L528" s="10" t="s">
        <v>1144</v>
      </c>
      <c r="M528" s="11" t="str">
        <f t="shared" si="43"/>
        <v>4C</v>
      </c>
      <c r="N528" s="1" t="str">
        <f t="shared" si="44"/>
        <v>006Rg00000cOOwCIAW</v>
      </c>
    </row>
    <row r="529" spans="1:14" ht="29.15" x14ac:dyDescent="0.4">
      <c r="A529" s="1">
        <v>5</v>
      </c>
      <c r="B529" s="1">
        <v>32</v>
      </c>
      <c r="C529" s="1" t="s">
        <v>1142</v>
      </c>
      <c r="D529" s="1" t="s">
        <v>1</v>
      </c>
      <c r="E529" s="1" t="s">
        <v>1143</v>
      </c>
      <c r="F529" s="1" t="s">
        <v>222</v>
      </c>
      <c r="G529" s="11" t="str">
        <f>_xlfn.XLOOKUP(M529,'Code Catagories'!A:A,'Code Catagories'!C:C)</f>
        <v>4C. Commercial Model</v>
      </c>
      <c r="H529" s="1" t="s">
        <v>134</v>
      </c>
      <c r="I529" s="1" t="s">
        <v>279</v>
      </c>
      <c r="J529" s="1" t="s">
        <v>203</v>
      </c>
      <c r="K529" s="1" t="s">
        <v>141</v>
      </c>
      <c r="L529" s="10" t="s">
        <v>1145</v>
      </c>
      <c r="M529" s="11" t="str">
        <f t="shared" si="43"/>
        <v>4C</v>
      </c>
      <c r="N529" s="1" t="str">
        <f t="shared" si="44"/>
        <v>006Rg00000cOOwCIAW</v>
      </c>
    </row>
    <row r="530" spans="1:14" ht="29.15" x14ac:dyDescent="0.4">
      <c r="A530" s="1">
        <v>5</v>
      </c>
      <c r="B530" s="1">
        <v>32</v>
      </c>
      <c r="C530" s="1" t="s">
        <v>1146</v>
      </c>
      <c r="D530" s="1" t="s">
        <v>1</v>
      </c>
      <c r="E530" s="1" t="s">
        <v>1147</v>
      </c>
      <c r="F530" s="1" t="s">
        <v>222</v>
      </c>
      <c r="G530" s="11" t="str">
        <f>_xlfn.XLOOKUP(M530,'Code Catagories'!A:A,'Code Catagories'!C:C)</f>
        <v>4C. Commercial Model</v>
      </c>
      <c r="H530" s="1" t="s">
        <v>134</v>
      </c>
      <c r="I530" s="1" t="s">
        <v>223</v>
      </c>
      <c r="J530" s="1" t="s">
        <v>203</v>
      </c>
      <c r="K530" s="1" t="s">
        <v>141</v>
      </c>
      <c r="L530" s="10" t="s">
        <v>1148</v>
      </c>
      <c r="M530" s="11" t="str">
        <f t="shared" ref="M530:M540" si="45">TRIM(F530)</f>
        <v>4C</v>
      </c>
      <c r="N530" s="1" t="str">
        <f t="shared" ref="N530:N540" si="46">TRIM(C530)</f>
        <v>006Rg00000coSUhIAM</v>
      </c>
    </row>
    <row r="531" spans="1:14" ht="29.15" x14ac:dyDescent="0.4">
      <c r="A531" s="1">
        <v>5</v>
      </c>
      <c r="B531" s="1">
        <v>32</v>
      </c>
      <c r="C531" s="1" t="s">
        <v>1146</v>
      </c>
      <c r="D531" s="1" t="s">
        <v>1</v>
      </c>
      <c r="E531" s="1" t="s">
        <v>1147</v>
      </c>
      <c r="F531" s="1" t="s">
        <v>145</v>
      </c>
      <c r="G531" s="11" t="str">
        <f>_xlfn.XLOOKUP(M531,'Code Catagories'!A:A,'Code Catagories'!C:C)</f>
        <v>4A. Rate Uncompetitive</v>
      </c>
      <c r="H531" s="1" t="s">
        <v>134</v>
      </c>
      <c r="I531" s="1" t="s">
        <v>146</v>
      </c>
      <c r="J531" s="1" t="s">
        <v>203</v>
      </c>
      <c r="K531" s="1" t="s">
        <v>1149</v>
      </c>
      <c r="L531" s="10" t="s">
        <v>1150</v>
      </c>
      <c r="M531" s="11" t="str">
        <f t="shared" si="45"/>
        <v>4A</v>
      </c>
      <c r="N531" s="1" t="str">
        <f t="shared" si="46"/>
        <v>006Rg00000coSUhIAM</v>
      </c>
    </row>
    <row r="532" spans="1:14" ht="29.15" x14ac:dyDescent="0.4">
      <c r="A532" s="1">
        <v>5</v>
      </c>
      <c r="B532" s="1">
        <v>32</v>
      </c>
      <c r="C532" s="1" t="s">
        <v>1151</v>
      </c>
      <c r="D532" s="1" t="s">
        <v>2</v>
      </c>
      <c r="E532" s="1" t="s">
        <v>1152</v>
      </c>
      <c r="F532" s="1" t="s">
        <v>153</v>
      </c>
      <c r="G532" s="11" t="str">
        <f>_xlfn.XLOOKUP(M532,'Code Catagories'!A:A,'Code Catagories'!C:C)</f>
        <v>4E. Availability / Serviceability</v>
      </c>
      <c r="H532" s="1" t="s">
        <v>134</v>
      </c>
      <c r="I532" s="1" t="s">
        <v>175</v>
      </c>
      <c r="J532" s="1" t="s">
        <v>203</v>
      </c>
      <c r="K532" s="1" t="s">
        <v>141</v>
      </c>
      <c r="L532" s="10" t="s">
        <v>1153</v>
      </c>
      <c r="M532" s="11" t="str">
        <f t="shared" si="45"/>
        <v>4E</v>
      </c>
      <c r="N532" s="1" t="str">
        <f t="shared" si="46"/>
        <v>006Rg00000coUY5IAM</v>
      </c>
    </row>
    <row r="533" spans="1:14" x14ac:dyDescent="0.4">
      <c r="A533" s="1">
        <v>5</v>
      </c>
      <c r="B533" s="1">
        <v>32</v>
      </c>
      <c r="C533" s="1" t="s">
        <v>1154</v>
      </c>
      <c r="D533" s="1" t="s">
        <v>1</v>
      </c>
      <c r="E533" s="1" t="s">
        <v>1155</v>
      </c>
      <c r="F533" s="1" t="s">
        <v>134</v>
      </c>
      <c r="G533" s="11" t="e">
        <f>_xlfn.XLOOKUP(M533,'Code Catagories'!A:A,'Code Catagories'!C:C)</f>
        <v>#N/A</v>
      </c>
      <c r="H533" s="1" t="s">
        <v>134</v>
      </c>
      <c r="I533" s="1" t="s">
        <v>134</v>
      </c>
      <c r="J533" s="1" t="s">
        <v>134</v>
      </c>
      <c r="K533" s="1" t="s">
        <v>134</v>
      </c>
      <c r="L533" s="10" t="s">
        <v>135</v>
      </c>
      <c r="M533" s="11" t="str">
        <f t="shared" si="45"/>
        <v>—</v>
      </c>
      <c r="N533" s="1" t="str">
        <f t="shared" si="46"/>
        <v>006Rg00000cOWsFIAW</v>
      </c>
    </row>
    <row r="534" spans="1:14" x14ac:dyDescent="0.4">
      <c r="A534" s="1">
        <v>5</v>
      </c>
      <c r="B534" s="1">
        <v>32</v>
      </c>
      <c r="C534" s="1" t="s">
        <v>1156</v>
      </c>
      <c r="D534" s="1" t="s">
        <v>1</v>
      </c>
      <c r="E534" s="1" t="s">
        <v>134</v>
      </c>
      <c r="F534" s="1" t="s">
        <v>134</v>
      </c>
      <c r="G534" s="11" t="e">
        <f>_xlfn.XLOOKUP(M534,'Code Catagories'!A:A,'Code Catagories'!C:C)</f>
        <v>#N/A</v>
      </c>
      <c r="H534" s="1" t="s">
        <v>134</v>
      </c>
      <c r="I534" s="1" t="s">
        <v>134</v>
      </c>
      <c r="J534" s="1" t="s">
        <v>134</v>
      </c>
      <c r="K534" s="1" t="s">
        <v>134</v>
      </c>
      <c r="L534" s="10" t="s">
        <v>135</v>
      </c>
      <c r="M534" s="11" t="str">
        <f t="shared" si="45"/>
        <v>—</v>
      </c>
      <c r="N534" s="1" t="str">
        <f t="shared" si="46"/>
        <v>006Rg00000cOyRvIAK</v>
      </c>
    </row>
    <row r="535" spans="1:14" ht="43.75" x14ac:dyDescent="0.4">
      <c r="A535" s="1">
        <v>5</v>
      </c>
      <c r="B535" s="1">
        <v>32</v>
      </c>
      <c r="C535" s="1" t="s">
        <v>1157</v>
      </c>
      <c r="D535" s="1" t="s">
        <v>2</v>
      </c>
      <c r="E535" s="1" t="s">
        <v>134</v>
      </c>
      <c r="F535" s="1" t="s">
        <v>137</v>
      </c>
      <c r="G535" s="11" t="str">
        <f>_xlfn.XLOOKUP(M535,'Code Catagories'!A:A,'Code Catagories'!C:C)</f>
        <v>4B. Ancillary Fees</v>
      </c>
      <c r="H535" s="1" t="s">
        <v>134</v>
      </c>
      <c r="I535" s="1" t="s">
        <v>207</v>
      </c>
      <c r="J535" s="1" t="s">
        <v>203</v>
      </c>
      <c r="K535" s="1" t="s">
        <v>141</v>
      </c>
      <c r="L535" s="10" t="s">
        <v>1158</v>
      </c>
      <c r="M535" s="11" t="str">
        <f t="shared" si="45"/>
        <v>4B</v>
      </c>
      <c r="N535" s="1" t="str">
        <f t="shared" si="46"/>
        <v>006Rg00000cP0WoIAK</v>
      </c>
    </row>
    <row r="536" spans="1:14" ht="43.75" x14ac:dyDescent="0.4">
      <c r="A536" s="1">
        <v>5</v>
      </c>
      <c r="B536" s="1">
        <v>32</v>
      </c>
      <c r="C536" s="1" t="s">
        <v>1159</v>
      </c>
      <c r="D536" s="1" t="s">
        <v>2</v>
      </c>
      <c r="E536" s="1" t="s">
        <v>1160</v>
      </c>
      <c r="F536" s="1" t="s">
        <v>145</v>
      </c>
      <c r="G536" s="11" t="str">
        <f>_xlfn.XLOOKUP(M536,'Code Catagories'!A:A,'Code Catagories'!C:C)</f>
        <v>4A. Rate Uncompetitive</v>
      </c>
      <c r="H536" s="1" t="s">
        <v>134</v>
      </c>
      <c r="I536" s="1" t="s">
        <v>241</v>
      </c>
      <c r="J536" s="1" t="s">
        <v>203</v>
      </c>
      <c r="K536" s="1" t="s">
        <v>141</v>
      </c>
      <c r="L536" s="10" t="s">
        <v>1161</v>
      </c>
      <c r="M536" s="11" t="str">
        <f t="shared" si="45"/>
        <v>4A</v>
      </c>
      <c r="N536" s="1" t="str">
        <f t="shared" si="46"/>
        <v>006Rg00000cqb0oIAA</v>
      </c>
    </row>
    <row r="537" spans="1:14" x14ac:dyDescent="0.4">
      <c r="A537" s="1">
        <v>5</v>
      </c>
      <c r="B537" s="1">
        <v>32</v>
      </c>
      <c r="C537" s="1" t="s">
        <v>1162</v>
      </c>
      <c r="D537" s="1" t="s">
        <v>2</v>
      </c>
      <c r="E537" s="1" t="s">
        <v>1163</v>
      </c>
      <c r="F537" s="1" t="s">
        <v>134</v>
      </c>
      <c r="G537" s="11" t="e">
        <f>_xlfn.XLOOKUP(M537,'Code Catagories'!A:A,'Code Catagories'!C:C)</f>
        <v>#N/A</v>
      </c>
      <c r="H537" s="1" t="s">
        <v>134</v>
      </c>
      <c r="I537" s="1" t="s">
        <v>134</v>
      </c>
      <c r="J537" s="1" t="s">
        <v>134</v>
      </c>
      <c r="K537" s="1" t="s">
        <v>134</v>
      </c>
      <c r="L537" s="10" t="s">
        <v>135</v>
      </c>
      <c r="M537" s="11" t="str">
        <f t="shared" si="45"/>
        <v>—</v>
      </c>
      <c r="N537" s="1" t="str">
        <f t="shared" si="46"/>
        <v>006Rg00000cQcTaIAK</v>
      </c>
    </row>
    <row r="538" spans="1:14" ht="29.15" x14ac:dyDescent="0.4">
      <c r="A538" s="1">
        <v>5</v>
      </c>
      <c r="B538" s="1">
        <v>32</v>
      </c>
      <c r="C538" s="1" t="s">
        <v>1164</v>
      </c>
      <c r="D538" s="1" t="s">
        <v>1</v>
      </c>
      <c r="E538" s="1" t="s">
        <v>1165</v>
      </c>
      <c r="F538" s="1" t="s">
        <v>137</v>
      </c>
      <c r="G538" s="11" t="str">
        <f>_xlfn.XLOOKUP(M538,'Code Catagories'!A:A,'Code Catagories'!C:C)</f>
        <v>4B. Ancillary Fees</v>
      </c>
      <c r="H538" s="1" t="s">
        <v>134</v>
      </c>
      <c r="I538" s="1" t="s">
        <v>139</v>
      </c>
      <c r="J538" s="1" t="s">
        <v>203</v>
      </c>
      <c r="K538" s="1" t="s">
        <v>141</v>
      </c>
      <c r="L538" s="10" t="s">
        <v>1166</v>
      </c>
      <c r="M538" s="11" t="str">
        <f t="shared" si="45"/>
        <v>4B</v>
      </c>
      <c r="N538" s="1" t="str">
        <f t="shared" si="46"/>
        <v>006Rg00000cqdDtIAI</v>
      </c>
    </row>
    <row r="539" spans="1:14" ht="43.75" x14ac:dyDescent="0.4">
      <c r="A539" s="1">
        <v>5</v>
      </c>
      <c r="B539" s="1">
        <v>32</v>
      </c>
      <c r="C539" s="1" t="s">
        <v>1167</v>
      </c>
      <c r="D539" s="1" t="s">
        <v>1</v>
      </c>
      <c r="E539" s="1" t="s">
        <v>668</v>
      </c>
      <c r="F539" s="1" t="s">
        <v>137</v>
      </c>
      <c r="G539" s="11" t="str">
        <f>_xlfn.XLOOKUP(M539,'Code Catagories'!A:A,'Code Catagories'!C:C)</f>
        <v>4B. Ancillary Fees</v>
      </c>
      <c r="H539" s="1" t="s">
        <v>134</v>
      </c>
      <c r="I539" s="1" t="s">
        <v>514</v>
      </c>
      <c r="J539" s="1" t="s">
        <v>245</v>
      </c>
      <c r="K539" s="1" t="s">
        <v>141</v>
      </c>
      <c r="L539" s="10" t="s">
        <v>1169</v>
      </c>
      <c r="M539" s="11" t="str">
        <f t="shared" si="45"/>
        <v>4B</v>
      </c>
      <c r="N539" s="1" t="str">
        <f t="shared" si="46"/>
        <v>006Rg00000cQg7PIAS</v>
      </c>
    </row>
    <row r="540" spans="1:14" ht="29.15" x14ac:dyDescent="0.4">
      <c r="A540" s="1">
        <v>5</v>
      </c>
      <c r="B540" s="1">
        <v>32</v>
      </c>
      <c r="C540" s="1" t="s">
        <v>1167</v>
      </c>
      <c r="D540" s="1" t="s">
        <v>1</v>
      </c>
      <c r="E540" s="1" t="s">
        <v>668</v>
      </c>
      <c r="F540" s="1" t="s">
        <v>137</v>
      </c>
      <c r="G540" s="11" t="str">
        <f>_xlfn.XLOOKUP(M540,'Code Catagories'!A:A,'Code Catagories'!C:C)</f>
        <v>4B. Ancillary Fees</v>
      </c>
      <c r="H540" s="1" t="s">
        <v>134</v>
      </c>
      <c r="I540" s="1" t="s">
        <v>228</v>
      </c>
      <c r="J540" s="1" t="s">
        <v>203</v>
      </c>
      <c r="K540" s="1" t="s">
        <v>141</v>
      </c>
      <c r="L540" s="10" t="s">
        <v>1168</v>
      </c>
      <c r="M540" s="11" t="str">
        <f t="shared" si="45"/>
        <v>4B</v>
      </c>
      <c r="N540" s="1" t="str">
        <f t="shared" si="46"/>
        <v>006Rg00000cQg7PIAS</v>
      </c>
    </row>
    <row r="541" spans="1:14" ht="29.15" x14ac:dyDescent="0.4">
      <c r="A541" s="1">
        <v>5</v>
      </c>
      <c r="B541" s="1">
        <v>33</v>
      </c>
      <c r="C541" s="1" t="s">
        <v>1170</v>
      </c>
      <c r="D541" s="1" t="s">
        <v>2</v>
      </c>
      <c r="E541" s="1" t="s">
        <v>1040</v>
      </c>
      <c r="F541" s="1" t="s">
        <v>192</v>
      </c>
      <c r="G541" s="11" t="str">
        <f>_xlfn.XLOOKUP(M541,'Code Catagories'!A:A,'Code Catagories'!C:C)</f>
        <v>4D. Contract Mechanics</v>
      </c>
      <c r="H541" s="1" t="s">
        <v>138</v>
      </c>
      <c r="I541" s="1" t="s">
        <v>394</v>
      </c>
      <c r="J541" s="1" t="s">
        <v>140</v>
      </c>
      <c r="K541" s="1" t="s">
        <v>141</v>
      </c>
      <c r="L541" s="10" t="s">
        <v>1171</v>
      </c>
      <c r="M541" s="11" t="str">
        <f t="shared" ref="M541:M548" si="47">TRIM(F541)</f>
        <v>4D</v>
      </c>
      <c r="N541" s="1" t="str">
        <f t="shared" ref="N541:N548" si="48">TRIM(C541)</f>
        <v>006Rg00000cQj6rIAC</v>
      </c>
    </row>
    <row r="542" spans="1:14" x14ac:dyDescent="0.4">
      <c r="A542" s="1">
        <v>5</v>
      </c>
      <c r="B542" s="1">
        <v>33</v>
      </c>
      <c r="C542" s="1" t="s">
        <v>1172</v>
      </c>
      <c r="D542" s="1" t="s">
        <v>1</v>
      </c>
      <c r="E542" s="1" t="s">
        <v>1173</v>
      </c>
      <c r="F542" s="1" t="s">
        <v>134</v>
      </c>
      <c r="G542" s="11" t="e">
        <f>_xlfn.XLOOKUP(M542,'Code Catagories'!A:A,'Code Catagories'!C:C)</f>
        <v>#N/A</v>
      </c>
      <c r="H542" s="1" t="s">
        <v>134</v>
      </c>
      <c r="I542" s="1" t="s">
        <v>134</v>
      </c>
      <c r="J542" s="1" t="s">
        <v>134</v>
      </c>
      <c r="K542" s="1" t="s">
        <v>134</v>
      </c>
      <c r="L542" s="10" t="s">
        <v>135</v>
      </c>
      <c r="M542" s="11" t="str">
        <f t="shared" si="47"/>
        <v>—</v>
      </c>
      <c r="N542" s="1" t="str">
        <f t="shared" si="48"/>
        <v>006Rg00000cqoPSIAY</v>
      </c>
    </row>
    <row r="543" spans="1:14" ht="29.15" x14ac:dyDescent="0.4">
      <c r="A543" s="1">
        <v>5</v>
      </c>
      <c r="B543" s="1">
        <v>33</v>
      </c>
      <c r="C543" s="1" t="s">
        <v>1174</v>
      </c>
      <c r="D543" s="1" t="s">
        <v>1</v>
      </c>
      <c r="E543" s="1" t="s">
        <v>855</v>
      </c>
      <c r="F543" s="1" t="s">
        <v>222</v>
      </c>
      <c r="G543" s="11" t="str">
        <f>_xlfn.XLOOKUP(M543,'Code Catagories'!A:A,'Code Catagories'!C:C)</f>
        <v>4C. Commercial Model</v>
      </c>
      <c r="H543" s="1" t="s">
        <v>134</v>
      </c>
      <c r="I543" s="1" t="s">
        <v>239</v>
      </c>
      <c r="J543" s="1" t="s">
        <v>203</v>
      </c>
      <c r="K543" s="1" t="s">
        <v>141</v>
      </c>
      <c r="L543" s="10" t="s">
        <v>1175</v>
      </c>
      <c r="M543" s="11" t="str">
        <f t="shared" si="47"/>
        <v>4C</v>
      </c>
      <c r="N543" s="1" t="str">
        <f t="shared" si="48"/>
        <v>006Rg00000cqpBsIAI</v>
      </c>
    </row>
    <row r="544" spans="1:14" ht="29.15" x14ac:dyDescent="0.4">
      <c r="A544" s="1">
        <v>5</v>
      </c>
      <c r="B544" s="1">
        <v>33</v>
      </c>
      <c r="C544" s="1" t="s">
        <v>1174</v>
      </c>
      <c r="D544" s="1" t="s">
        <v>1</v>
      </c>
      <c r="E544" s="1" t="s">
        <v>855</v>
      </c>
      <c r="F544" s="1" t="s">
        <v>153</v>
      </c>
      <c r="G544" s="11" t="str">
        <f>_xlfn.XLOOKUP(M544,'Code Catagories'!A:A,'Code Catagories'!C:C)</f>
        <v>4E. Availability / Serviceability</v>
      </c>
      <c r="H544" s="1" t="s">
        <v>134</v>
      </c>
      <c r="I544" s="1" t="s">
        <v>154</v>
      </c>
      <c r="J544" s="1" t="s">
        <v>203</v>
      </c>
      <c r="K544" s="1" t="s">
        <v>141</v>
      </c>
      <c r="L544" s="10" t="s">
        <v>1176</v>
      </c>
      <c r="M544" s="11" t="str">
        <f t="shared" si="47"/>
        <v>4E</v>
      </c>
      <c r="N544" s="1" t="str">
        <f t="shared" si="48"/>
        <v>006Rg00000cqpBsIAI</v>
      </c>
    </row>
    <row r="545" spans="1:14" x14ac:dyDescent="0.4">
      <c r="A545" s="1">
        <v>5</v>
      </c>
      <c r="B545" s="1">
        <v>33</v>
      </c>
      <c r="C545" s="1" t="s">
        <v>1177</v>
      </c>
      <c r="D545" s="1" t="s">
        <v>1</v>
      </c>
      <c r="E545" s="1" t="s">
        <v>915</v>
      </c>
      <c r="F545" s="1" t="s">
        <v>134</v>
      </c>
      <c r="G545" s="11" t="e">
        <f>_xlfn.XLOOKUP(M545,'Code Catagories'!A:A,'Code Catagories'!C:C)</f>
        <v>#N/A</v>
      </c>
      <c r="H545" s="1" t="s">
        <v>134</v>
      </c>
      <c r="I545" s="1" t="s">
        <v>134</v>
      </c>
      <c r="J545" s="1" t="s">
        <v>134</v>
      </c>
      <c r="K545" s="1" t="s">
        <v>134</v>
      </c>
      <c r="L545" s="10" t="s">
        <v>135</v>
      </c>
      <c r="M545" s="11" t="str">
        <f t="shared" si="47"/>
        <v>—</v>
      </c>
      <c r="N545" s="1" t="str">
        <f t="shared" si="48"/>
        <v>006Rg00000cqSf3IAE</v>
      </c>
    </row>
    <row r="546" spans="1:14" ht="29.15" x14ac:dyDescent="0.4">
      <c r="A546" s="1">
        <v>5</v>
      </c>
      <c r="B546" s="1">
        <v>33</v>
      </c>
      <c r="C546" s="1" t="s">
        <v>1178</v>
      </c>
      <c r="D546" s="1" t="s">
        <v>1</v>
      </c>
      <c r="E546" s="1" t="s">
        <v>723</v>
      </c>
      <c r="F546" s="1" t="s">
        <v>222</v>
      </c>
      <c r="G546" s="11" t="str">
        <f>_xlfn.XLOOKUP(M546,'Code Catagories'!A:A,'Code Catagories'!C:C)</f>
        <v>4C. Commercial Model</v>
      </c>
      <c r="H546" s="1" t="s">
        <v>134</v>
      </c>
      <c r="I546" s="1" t="s">
        <v>223</v>
      </c>
      <c r="J546" s="1" t="s">
        <v>224</v>
      </c>
      <c r="K546" s="1" t="s">
        <v>148</v>
      </c>
      <c r="L546" s="10" t="s">
        <v>1179</v>
      </c>
      <c r="M546" s="11" t="str">
        <f t="shared" si="47"/>
        <v>4C</v>
      </c>
      <c r="N546" s="1" t="str">
        <f t="shared" si="48"/>
        <v>006Rg00000cqUs9IAE</v>
      </c>
    </row>
    <row r="547" spans="1:14" ht="43.75" x14ac:dyDescent="0.4">
      <c r="A547" s="1">
        <v>5</v>
      </c>
      <c r="B547" s="1">
        <v>33</v>
      </c>
      <c r="C547" s="1" t="s">
        <v>1180</v>
      </c>
      <c r="D547" s="1" t="s">
        <v>1</v>
      </c>
      <c r="E547" s="1" t="s">
        <v>1181</v>
      </c>
      <c r="F547" s="1" t="s">
        <v>145</v>
      </c>
      <c r="G547" s="11" t="str">
        <f>_xlfn.XLOOKUP(M547,'Code Catagories'!A:A,'Code Catagories'!C:C)</f>
        <v>4A. Rate Uncompetitive</v>
      </c>
      <c r="H547" s="1" t="s">
        <v>138</v>
      </c>
      <c r="I547" s="1" t="s">
        <v>800</v>
      </c>
      <c r="J547" s="1" t="s">
        <v>140</v>
      </c>
      <c r="K547" s="1" t="s">
        <v>148</v>
      </c>
      <c r="L547" s="10" t="s">
        <v>1182</v>
      </c>
      <c r="M547" s="11" t="str">
        <f t="shared" si="47"/>
        <v>4A</v>
      </c>
      <c r="N547" s="1" t="str">
        <f t="shared" si="48"/>
        <v>006Rg00000cqXGgIAM</v>
      </c>
    </row>
    <row r="548" spans="1:14" x14ac:dyDescent="0.4">
      <c r="A548" s="1">
        <v>5</v>
      </c>
      <c r="B548" s="1">
        <v>33</v>
      </c>
      <c r="C548" s="1" t="s">
        <v>1183</v>
      </c>
      <c r="D548" s="1" t="s">
        <v>2</v>
      </c>
      <c r="E548" s="1" t="s">
        <v>134</v>
      </c>
      <c r="F548" s="1" t="s">
        <v>134</v>
      </c>
      <c r="G548" s="11" t="e">
        <f>_xlfn.XLOOKUP(M548,'Code Catagories'!A:A,'Code Catagories'!C:C)</f>
        <v>#N/A</v>
      </c>
      <c r="H548" s="1" t="s">
        <v>134</v>
      </c>
      <c r="I548" s="1" t="s">
        <v>134</v>
      </c>
      <c r="J548" s="1" t="s">
        <v>134</v>
      </c>
      <c r="K548" s="1" t="s">
        <v>134</v>
      </c>
      <c r="L548" s="10" t="s">
        <v>135</v>
      </c>
      <c r="M548" s="11" t="str">
        <f t="shared" si="47"/>
        <v>—</v>
      </c>
      <c r="N548" s="1" t="str">
        <f t="shared" si="48"/>
        <v>006Rg00000cQxPxIAK</v>
      </c>
    </row>
    <row r="549" spans="1:14" ht="29.15" x14ac:dyDescent="0.4">
      <c r="A549" s="1">
        <v>5</v>
      </c>
      <c r="B549" s="1">
        <v>33</v>
      </c>
      <c r="C549" s="1" t="s">
        <v>1184</v>
      </c>
      <c r="D549" s="1" t="s">
        <v>2</v>
      </c>
      <c r="E549" s="1" t="s">
        <v>461</v>
      </c>
      <c r="F549" s="1" t="s">
        <v>222</v>
      </c>
      <c r="G549" s="11" t="str">
        <f>_xlfn.XLOOKUP(M549,'Code Catagories'!A:A,'Code Catagories'!C:C)</f>
        <v>4C. Commercial Model</v>
      </c>
      <c r="H549" s="1" t="s">
        <v>134</v>
      </c>
      <c r="I549" s="1" t="s">
        <v>321</v>
      </c>
      <c r="J549" s="1" t="s">
        <v>224</v>
      </c>
      <c r="K549" s="1" t="s">
        <v>148</v>
      </c>
      <c r="L549" s="10" t="s">
        <v>1185</v>
      </c>
      <c r="M549" s="11" t="str">
        <f t="shared" ref="M549:M556" si="49">TRIM(F549)</f>
        <v>4C</v>
      </c>
      <c r="N549" s="1" t="str">
        <f t="shared" ref="N549:N556" si="50">TRIM(C549)</f>
        <v>006Rg00000cqy8iIAA</v>
      </c>
    </row>
    <row r="550" spans="1:14" x14ac:dyDescent="0.4">
      <c r="A550" s="1">
        <v>5</v>
      </c>
      <c r="B550" s="1">
        <v>33</v>
      </c>
      <c r="C550" s="1" t="s">
        <v>1186</v>
      </c>
      <c r="D550" s="1" t="s">
        <v>1</v>
      </c>
      <c r="E550" s="1" t="s">
        <v>1187</v>
      </c>
      <c r="F550" s="1" t="s">
        <v>134</v>
      </c>
      <c r="G550" s="11" t="e">
        <f>_xlfn.XLOOKUP(M550,'Code Catagories'!A:A,'Code Catagories'!C:C)</f>
        <v>#N/A</v>
      </c>
      <c r="H550" s="1" t="s">
        <v>134</v>
      </c>
      <c r="I550" s="1" t="s">
        <v>134</v>
      </c>
      <c r="J550" s="1" t="s">
        <v>134</v>
      </c>
      <c r="K550" s="1" t="s">
        <v>134</v>
      </c>
      <c r="L550" s="10" t="s">
        <v>135</v>
      </c>
      <c r="M550" s="11" t="str">
        <f t="shared" si="49"/>
        <v>—</v>
      </c>
      <c r="N550" s="1" t="str">
        <f t="shared" si="50"/>
        <v>006Rg00000cr0f7IAA</v>
      </c>
    </row>
    <row r="551" spans="1:14" ht="29.15" x14ac:dyDescent="0.4">
      <c r="A551" s="1">
        <v>5</v>
      </c>
      <c r="B551" s="1">
        <v>33</v>
      </c>
      <c r="C551" s="1" t="s">
        <v>1188</v>
      </c>
      <c r="D551" s="1" t="s">
        <v>2</v>
      </c>
      <c r="E551" s="1" t="s">
        <v>490</v>
      </c>
      <c r="F551" s="1" t="s">
        <v>137</v>
      </c>
      <c r="G551" s="11" t="str">
        <f>_xlfn.XLOOKUP(M551,'Code Catagories'!A:A,'Code Catagories'!C:C)</f>
        <v>4B. Ancillary Fees</v>
      </c>
      <c r="H551" s="1" t="s">
        <v>138</v>
      </c>
      <c r="I551" s="1" t="s">
        <v>139</v>
      </c>
      <c r="J551" s="1" t="s">
        <v>140</v>
      </c>
      <c r="K551" s="1" t="s">
        <v>148</v>
      </c>
      <c r="L551" s="10" t="s">
        <v>1189</v>
      </c>
      <c r="M551" s="11" t="str">
        <f t="shared" si="49"/>
        <v>4B</v>
      </c>
      <c r="N551" s="1" t="str">
        <f t="shared" si="50"/>
        <v>006Rg00000cR0PRIA0</v>
      </c>
    </row>
    <row r="552" spans="1:14" x14ac:dyDescent="0.4">
      <c r="A552" s="1">
        <v>5</v>
      </c>
      <c r="B552" s="1">
        <v>33</v>
      </c>
      <c r="C552" s="1" t="s">
        <v>1190</v>
      </c>
      <c r="D552" s="1" t="s">
        <v>2</v>
      </c>
      <c r="E552" s="1" t="s">
        <v>1191</v>
      </c>
      <c r="F552" s="1" t="s">
        <v>134</v>
      </c>
      <c r="G552" s="11" t="e">
        <f>_xlfn.XLOOKUP(M552,'Code Catagories'!A:A,'Code Catagories'!C:C)</f>
        <v>#N/A</v>
      </c>
      <c r="H552" s="1" t="s">
        <v>134</v>
      </c>
      <c r="I552" s="1" t="s">
        <v>134</v>
      </c>
      <c r="J552" s="1" t="s">
        <v>134</v>
      </c>
      <c r="K552" s="1" t="s">
        <v>134</v>
      </c>
      <c r="L552" s="10" t="s">
        <v>135</v>
      </c>
      <c r="M552" s="11" t="str">
        <f t="shared" si="49"/>
        <v>—</v>
      </c>
      <c r="N552" s="1" t="str">
        <f t="shared" si="50"/>
        <v>006Rg00000cR7VlIAK</v>
      </c>
    </row>
    <row r="553" spans="1:14" ht="43.75" x14ac:dyDescent="0.4">
      <c r="A553" s="1">
        <v>5</v>
      </c>
      <c r="B553" s="1">
        <v>33</v>
      </c>
      <c r="C553" s="1" t="s">
        <v>1192</v>
      </c>
      <c r="D553" s="1" t="s">
        <v>1</v>
      </c>
      <c r="E553" s="1" t="s">
        <v>495</v>
      </c>
      <c r="F553" s="1" t="s">
        <v>166</v>
      </c>
      <c r="G553" s="11" t="str">
        <f>_xlfn.XLOOKUP(M553,'Code Catagories'!A:A,'Code Catagories'!C:C)</f>
        <v>4F. Promotion Ineligibility</v>
      </c>
      <c r="H553" s="1" t="s">
        <v>138</v>
      </c>
      <c r="I553" s="1" t="s">
        <v>239</v>
      </c>
      <c r="J553" s="1" t="s">
        <v>147</v>
      </c>
      <c r="K553" s="1" t="s">
        <v>148</v>
      </c>
      <c r="L553" s="10" t="s">
        <v>1193</v>
      </c>
      <c r="M553" s="11" t="str">
        <f t="shared" si="49"/>
        <v>4F</v>
      </c>
      <c r="N553" s="1" t="str">
        <f t="shared" si="50"/>
        <v>006Rg00000crb8RIAQ</v>
      </c>
    </row>
    <row r="554" spans="1:14" ht="43.75" x14ac:dyDescent="0.4">
      <c r="A554" s="1">
        <v>5</v>
      </c>
      <c r="B554" s="1">
        <v>33</v>
      </c>
      <c r="C554" s="1" t="s">
        <v>1194</v>
      </c>
      <c r="D554" s="1" t="s">
        <v>1</v>
      </c>
      <c r="E554" s="1" t="s">
        <v>1195</v>
      </c>
      <c r="F554" s="1" t="s">
        <v>137</v>
      </c>
      <c r="G554" s="11" t="str">
        <f>_xlfn.XLOOKUP(M554,'Code Catagories'!A:A,'Code Catagories'!C:C)</f>
        <v>4B. Ancillary Fees</v>
      </c>
      <c r="H554" s="1" t="s">
        <v>134</v>
      </c>
      <c r="I554" s="1" t="s">
        <v>1196</v>
      </c>
      <c r="J554" s="1" t="s">
        <v>203</v>
      </c>
      <c r="K554" s="1" t="s">
        <v>141</v>
      </c>
      <c r="L554" s="10" t="s">
        <v>1197</v>
      </c>
      <c r="M554" s="11" t="str">
        <f t="shared" si="49"/>
        <v>4B</v>
      </c>
      <c r="N554" s="1" t="str">
        <f t="shared" si="50"/>
        <v>006Rg00000crg9iIAA</v>
      </c>
    </row>
    <row r="555" spans="1:14" ht="29.15" x14ac:dyDescent="0.4">
      <c r="A555" s="1">
        <v>5</v>
      </c>
      <c r="B555" s="1">
        <v>33</v>
      </c>
      <c r="C555" s="1" t="s">
        <v>1198</v>
      </c>
      <c r="D555" s="1" t="s">
        <v>2</v>
      </c>
      <c r="E555" s="1" t="s">
        <v>1199</v>
      </c>
      <c r="F555" s="1" t="s">
        <v>145</v>
      </c>
      <c r="G555" s="11" t="str">
        <f>_xlfn.XLOOKUP(M555,'Code Catagories'!A:A,'Code Catagories'!C:C)</f>
        <v>4A. Rate Uncompetitive</v>
      </c>
      <c r="H555" s="1" t="s">
        <v>138</v>
      </c>
      <c r="I555" s="1" t="s">
        <v>800</v>
      </c>
      <c r="J555" s="1" t="s">
        <v>140</v>
      </c>
      <c r="K555" s="1" t="s">
        <v>141</v>
      </c>
      <c r="L555" s="10" t="s">
        <v>1200</v>
      </c>
      <c r="M555" s="11" t="str">
        <f t="shared" si="49"/>
        <v>4A</v>
      </c>
      <c r="N555" s="1" t="str">
        <f t="shared" si="50"/>
        <v>006Rg00000crhCDIAY</v>
      </c>
    </row>
    <row r="556" spans="1:14" ht="29.15" x14ac:dyDescent="0.4">
      <c r="A556" s="1">
        <v>5</v>
      </c>
      <c r="B556" s="1">
        <v>33</v>
      </c>
      <c r="C556" s="1" t="s">
        <v>1198</v>
      </c>
      <c r="D556" s="1" t="s">
        <v>2</v>
      </c>
      <c r="E556" s="1" t="s">
        <v>1199</v>
      </c>
      <c r="F556" s="1" t="s">
        <v>137</v>
      </c>
      <c r="G556" s="11" t="str">
        <f>_xlfn.XLOOKUP(M556,'Code Catagories'!A:A,'Code Catagories'!C:C)</f>
        <v>4B. Ancillary Fees</v>
      </c>
      <c r="H556" s="1" t="s">
        <v>134</v>
      </c>
      <c r="I556" s="1" t="s">
        <v>228</v>
      </c>
      <c r="J556" s="1" t="s">
        <v>203</v>
      </c>
      <c r="K556" s="1" t="s">
        <v>141</v>
      </c>
      <c r="L556" s="10" t="s">
        <v>1201</v>
      </c>
      <c r="M556" s="11" t="str">
        <f t="shared" si="49"/>
        <v>4B</v>
      </c>
      <c r="N556" s="1" t="str">
        <f t="shared" si="50"/>
        <v>006Rg00000crhCDIAY</v>
      </c>
    </row>
    <row r="557" spans="1:14" x14ac:dyDescent="0.4">
      <c r="A557" s="1">
        <v>5</v>
      </c>
      <c r="B557" s="1">
        <v>33</v>
      </c>
      <c r="C557" s="1" t="s">
        <v>1202</v>
      </c>
      <c r="D557" s="1" t="s">
        <v>1</v>
      </c>
      <c r="E557" s="1" t="s">
        <v>495</v>
      </c>
      <c r="F557" s="1" t="s">
        <v>134</v>
      </c>
      <c r="G557" s="11" t="e">
        <f>_xlfn.XLOOKUP(M557,'Code Catagories'!A:A,'Code Catagories'!C:C)</f>
        <v>#N/A</v>
      </c>
      <c r="H557" s="1" t="s">
        <v>134</v>
      </c>
      <c r="I557" s="1" t="s">
        <v>134</v>
      </c>
      <c r="J557" s="1" t="s">
        <v>134</v>
      </c>
      <c r="K557" s="1" t="s">
        <v>134</v>
      </c>
      <c r="L557" s="10" t="s">
        <v>135</v>
      </c>
      <c r="M557" s="11" t="str">
        <f t="shared" ref="M557:M580" si="51">TRIM(F557)</f>
        <v>—</v>
      </c>
      <c r="N557" s="1" t="str">
        <f t="shared" ref="N557:N563" si="52">TRIM(C557)</f>
        <v>006Rg00000crlanIAA</v>
      </c>
    </row>
    <row r="558" spans="1:14" x14ac:dyDescent="0.4">
      <c r="A558" s="1">
        <v>5</v>
      </c>
      <c r="B558" s="1">
        <v>33</v>
      </c>
      <c r="C558" s="1" t="s">
        <v>1203</v>
      </c>
      <c r="D558" s="1" t="s">
        <v>1</v>
      </c>
      <c r="E558" s="1" t="s">
        <v>134</v>
      </c>
      <c r="F558" s="1" t="s">
        <v>134</v>
      </c>
      <c r="G558" s="11" t="e">
        <f>_xlfn.XLOOKUP(M558,'Code Catagories'!A:A,'Code Catagories'!C:C)</f>
        <v>#N/A</v>
      </c>
      <c r="H558" s="1" t="s">
        <v>134</v>
      </c>
      <c r="I558" s="1" t="s">
        <v>134</v>
      </c>
      <c r="J558" s="1" t="s">
        <v>134</v>
      </c>
      <c r="K558" s="1" t="s">
        <v>134</v>
      </c>
      <c r="L558" s="10" t="s">
        <v>135</v>
      </c>
      <c r="M558" s="11" t="str">
        <f t="shared" si="51"/>
        <v>—</v>
      </c>
      <c r="N558" s="1" t="str">
        <f t="shared" si="52"/>
        <v>006Rg00000cRLgoIAG</v>
      </c>
    </row>
    <row r="559" spans="1:14" x14ac:dyDescent="0.4">
      <c r="A559" s="1">
        <v>5</v>
      </c>
      <c r="B559" s="1">
        <v>33</v>
      </c>
      <c r="C559" s="1" t="s">
        <v>1204</v>
      </c>
      <c r="D559" s="1" t="s">
        <v>2</v>
      </c>
      <c r="E559" s="1" t="s">
        <v>134</v>
      </c>
      <c r="F559" s="1" t="s">
        <v>134</v>
      </c>
      <c r="G559" s="11" t="e">
        <f>_xlfn.XLOOKUP(M559,'Code Catagories'!A:A,'Code Catagories'!C:C)</f>
        <v>#N/A</v>
      </c>
      <c r="H559" s="1" t="s">
        <v>134</v>
      </c>
      <c r="I559" s="1" t="s">
        <v>134</v>
      </c>
      <c r="J559" s="1" t="s">
        <v>134</v>
      </c>
      <c r="K559" s="1" t="s">
        <v>134</v>
      </c>
      <c r="L559" s="10" t="s">
        <v>135</v>
      </c>
      <c r="M559" s="11" t="str">
        <f t="shared" si="51"/>
        <v>—</v>
      </c>
      <c r="N559" s="1" t="str">
        <f t="shared" si="52"/>
        <v>006Rg00000croVRIAY</v>
      </c>
    </row>
    <row r="560" spans="1:14" x14ac:dyDescent="0.4">
      <c r="A560" s="1">
        <v>5</v>
      </c>
      <c r="B560" s="1">
        <v>33</v>
      </c>
      <c r="C560" s="1" t="s">
        <v>1205</v>
      </c>
      <c r="D560" s="1" t="s">
        <v>2</v>
      </c>
      <c r="E560" s="1" t="s">
        <v>365</v>
      </c>
      <c r="F560" s="1" t="s">
        <v>134</v>
      </c>
      <c r="G560" s="11" t="e">
        <f>_xlfn.XLOOKUP(M560,'Code Catagories'!A:A,'Code Catagories'!C:C)</f>
        <v>#N/A</v>
      </c>
      <c r="H560" s="1" t="s">
        <v>134</v>
      </c>
      <c r="I560" s="1" t="s">
        <v>134</v>
      </c>
      <c r="J560" s="1" t="s">
        <v>134</v>
      </c>
      <c r="K560" s="1" t="s">
        <v>134</v>
      </c>
      <c r="L560" s="10" t="s">
        <v>135</v>
      </c>
      <c r="M560" s="11" t="str">
        <f t="shared" si="51"/>
        <v>—</v>
      </c>
      <c r="N560" s="1" t="str">
        <f t="shared" si="52"/>
        <v>006Rg00000crRFWIA2</v>
      </c>
    </row>
    <row r="561" spans="1:14" ht="29.15" x14ac:dyDescent="0.4">
      <c r="A561" s="1">
        <v>5</v>
      </c>
      <c r="B561" s="1">
        <v>33</v>
      </c>
      <c r="C561" s="1" t="s">
        <v>1206</v>
      </c>
      <c r="D561" s="1" t="s">
        <v>1</v>
      </c>
      <c r="E561" s="1" t="s">
        <v>1207</v>
      </c>
      <c r="F561" s="1" t="s">
        <v>137</v>
      </c>
      <c r="G561" s="11" t="str">
        <f>_xlfn.XLOOKUP(M561,'Code Catagories'!A:A,'Code Catagories'!C:C)</f>
        <v>4B. Ancillary Fees</v>
      </c>
      <c r="H561" s="1" t="s">
        <v>138</v>
      </c>
      <c r="I561" s="1" t="s">
        <v>459</v>
      </c>
      <c r="J561" s="1" t="s">
        <v>147</v>
      </c>
      <c r="K561" s="1" t="s">
        <v>148</v>
      </c>
      <c r="L561" s="10" t="s">
        <v>1208</v>
      </c>
      <c r="M561" s="11" t="str">
        <f t="shared" si="51"/>
        <v>4B</v>
      </c>
      <c r="N561" s="1" t="str">
        <f t="shared" si="52"/>
        <v>006Rg00000cRtqXIAS</v>
      </c>
    </row>
    <row r="562" spans="1:14" ht="43.75" x14ac:dyDescent="0.4">
      <c r="A562" s="1">
        <v>5</v>
      </c>
      <c r="B562" s="1">
        <v>33</v>
      </c>
      <c r="C562" s="1" t="s">
        <v>1209</v>
      </c>
      <c r="D562" s="1" t="s">
        <v>1</v>
      </c>
      <c r="E562" s="1" t="s">
        <v>1210</v>
      </c>
      <c r="F562" s="1" t="s">
        <v>222</v>
      </c>
      <c r="G562" s="11" t="str">
        <f>_xlfn.XLOOKUP(M562,'Code Catagories'!A:A,'Code Catagories'!C:C)</f>
        <v>4C. Commercial Model</v>
      </c>
      <c r="H562" s="1" t="s">
        <v>134</v>
      </c>
      <c r="I562" s="1" t="s">
        <v>223</v>
      </c>
      <c r="J562" s="1" t="s">
        <v>224</v>
      </c>
      <c r="K562" s="1" t="s">
        <v>148</v>
      </c>
      <c r="L562" s="10" t="s">
        <v>1211</v>
      </c>
      <c r="M562" s="11" t="str">
        <f t="shared" si="51"/>
        <v>4C</v>
      </c>
      <c r="N562" s="1" t="str">
        <f t="shared" si="52"/>
        <v>006Rg00000crWS5IAM</v>
      </c>
    </row>
    <row r="563" spans="1:14" ht="29.15" x14ac:dyDescent="0.4">
      <c r="A563" s="1">
        <v>5</v>
      </c>
      <c r="B563" s="1">
        <v>33</v>
      </c>
      <c r="C563" s="1" t="s">
        <v>1209</v>
      </c>
      <c r="D563" s="1" t="s">
        <v>1</v>
      </c>
      <c r="E563" s="1" t="s">
        <v>1210</v>
      </c>
      <c r="F563" s="1" t="s">
        <v>145</v>
      </c>
      <c r="G563" s="11" t="str">
        <f>_xlfn.XLOOKUP(M563,'Code Catagories'!A:A,'Code Catagories'!C:C)</f>
        <v>4A. Rate Uncompetitive</v>
      </c>
      <c r="H563" s="1" t="s">
        <v>138</v>
      </c>
      <c r="I563" s="1" t="s">
        <v>366</v>
      </c>
      <c r="J563" s="1" t="s">
        <v>147</v>
      </c>
      <c r="K563" s="1" t="s">
        <v>141</v>
      </c>
      <c r="L563" s="10" t="s">
        <v>1212</v>
      </c>
      <c r="M563" s="11" t="str">
        <f t="shared" si="51"/>
        <v>4A</v>
      </c>
      <c r="N563" s="1" t="str">
        <f t="shared" si="52"/>
        <v>006Rg00000crWS5IAM</v>
      </c>
    </row>
    <row r="564" spans="1:14" x14ac:dyDescent="0.4">
      <c r="A564" s="1">
        <v>5</v>
      </c>
      <c r="B564" s="1">
        <v>37</v>
      </c>
      <c r="C564" s="1" t="s">
        <v>1220</v>
      </c>
      <c r="D564" s="1" t="s">
        <v>1</v>
      </c>
      <c r="E564" s="1" t="s">
        <v>1221</v>
      </c>
      <c r="F564" s="1" t="s">
        <v>134</v>
      </c>
      <c r="G564" s="11" t="e">
        <f>_xlfn.XLOOKUP(M564,'Code Catagories'!A:A,'Code Catagories'!C:C)</f>
        <v>#N/A</v>
      </c>
      <c r="H564" s="1" t="s">
        <v>134</v>
      </c>
      <c r="I564" s="1" t="s">
        <v>134</v>
      </c>
      <c r="J564" s="1" t="s">
        <v>134</v>
      </c>
      <c r="K564" s="1" t="s">
        <v>134</v>
      </c>
      <c r="L564" s="10" t="s">
        <v>135</v>
      </c>
      <c r="M564" s="11" t="str">
        <f t="shared" si="51"/>
        <v>—</v>
      </c>
      <c r="N564" s="1" t="str">
        <f t="shared" ref="N564:N580" si="53">TRIM(C564)</f>
        <v>006Rg00000cXY8IIAW</v>
      </c>
    </row>
    <row r="565" spans="1:14" x14ac:dyDescent="0.4">
      <c r="A565" s="1">
        <v>5</v>
      </c>
      <c r="B565" s="1">
        <v>37</v>
      </c>
      <c r="C565" s="1" t="s">
        <v>1222</v>
      </c>
      <c r="D565" s="1" t="s">
        <v>1</v>
      </c>
      <c r="E565" s="1" t="s">
        <v>134</v>
      </c>
      <c r="F565" s="1" t="s">
        <v>134</v>
      </c>
      <c r="G565" s="11" t="e">
        <f>_xlfn.XLOOKUP(M565,'Code Catagories'!A:A,'Code Catagories'!C:C)</f>
        <v>#N/A</v>
      </c>
      <c r="H565" s="1" t="s">
        <v>134</v>
      </c>
      <c r="I565" s="1" t="s">
        <v>134</v>
      </c>
      <c r="J565" s="1" t="s">
        <v>134</v>
      </c>
      <c r="K565" s="1" t="s">
        <v>134</v>
      </c>
      <c r="L565" s="10" t="s">
        <v>135</v>
      </c>
      <c r="M565" s="11" t="str">
        <f t="shared" si="51"/>
        <v>—</v>
      </c>
      <c r="N565" s="1" t="str">
        <f t="shared" si="53"/>
        <v>006Rg00000cY3KAIA0</v>
      </c>
    </row>
    <row r="566" spans="1:14" ht="29.15" x14ac:dyDescent="0.4">
      <c r="A566" s="1">
        <v>5</v>
      </c>
      <c r="B566" s="1">
        <v>37</v>
      </c>
      <c r="C566" s="1" t="s">
        <v>1223</v>
      </c>
      <c r="D566" s="1" t="s">
        <v>1</v>
      </c>
      <c r="E566" s="1" t="s">
        <v>770</v>
      </c>
      <c r="F566" s="1" t="s">
        <v>153</v>
      </c>
      <c r="G566" s="11" t="str">
        <f>_xlfn.XLOOKUP(M566,'Code Catagories'!A:A,'Code Catagories'!C:C)</f>
        <v>4E. Availability / Serviceability</v>
      </c>
      <c r="H566" s="1" t="s">
        <v>134</v>
      </c>
      <c r="I566" s="1" t="s">
        <v>154</v>
      </c>
      <c r="J566" s="1" t="s">
        <v>203</v>
      </c>
      <c r="K566" s="1" t="s">
        <v>141</v>
      </c>
      <c r="L566" s="10" t="s">
        <v>1224</v>
      </c>
      <c r="M566" s="11" t="str">
        <f t="shared" si="51"/>
        <v>4E</v>
      </c>
      <c r="N566" s="1" t="str">
        <f t="shared" si="53"/>
        <v>006Rg00000cysfgIAA</v>
      </c>
    </row>
    <row r="567" spans="1:14" ht="29.15" x14ac:dyDescent="0.4">
      <c r="A567" s="1">
        <v>5</v>
      </c>
      <c r="B567" s="1">
        <v>37</v>
      </c>
      <c r="C567" s="1" t="s">
        <v>1223</v>
      </c>
      <c r="D567" s="1" t="s">
        <v>1</v>
      </c>
      <c r="E567" s="1" t="s">
        <v>770</v>
      </c>
      <c r="F567" s="1" t="s">
        <v>137</v>
      </c>
      <c r="G567" s="11" t="str">
        <f>_xlfn.XLOOKUP(M567,'Code Catagories'!A:A,'Code Catagories'!C:C)</f>
        <v>4B. Ancillary Fees</v>
      </c>
      <c r="H567" s="1" t="s">
        <v>134</v>
      </c>
      <c r="I567" s="1" t="s">
        <v>247</v>
      </c>
      <c r="J567" s="1" t="s">
        <v>245</v>
      </c>
      <c r="K567" s="1" t="s">
        <v>141</v>
      </c>
      <c r="L567" s="10" t="s">
        <v>1225</v>
      </c>
      <c r="M567" s="11" t="str">
        <f t="shared" si="51"/>
        <v>4B</v>
      </c>
      <c r="N567" s="1" t="str">
        <f t="shared" si="53"/>
        <v>006Rg00000cysfgIAA</v>
      </c>
    </row>
    <row r="568" spans="1:14" ht="29.15" x14ac:dyDescent="0.4">
      <c r="A568" s="1">
        <v>5</v>
      </c>
      <c r="B568" s="1">
        <v>37</v>
      </c>
      <c r="C568" s="1" t="s">
        <v>1226</v>
      </c>
      <c r="D568" s="1" t="s">
        <v>1</v>
      </c>
      <c r="E568" s="1" t="s">
        <v>134</v>
      </c>
      <c r="F568" s="1" t="s">
        <v>153</v>
      </c>
      <c r="G568" s="11" t="str">
        <f>_xlfn.XLOOKUP(M568,'Code Catagories'!A:A,'Code Catagories'!C:C)</f>
        <v>4E. Availability / Serviceability</v>
      </c>
      <c r="H568" s="1" t="s">
        <v>138</v>
      </c>
      <c r="I568" s="1" t="s">
        <v>236</v>
      </c>
      <c r="J568" s="1" t="s">
        <v>147</v>
      </c>
      <c r="K568" s="1" t="s">
        <v>148</v>
      </c>
      <c r="L568" s="10" t="s">
        <v>1227</v>
      </c>
      <c r="M568" s="11" t="str">
        <f t="shared" si="51"/>
        <v>4E</v>
      </c>
      <c r="N568" s="1" t="str">
        <f t="shared" si="53"/>
        <v>006Rg00000cytgVIAQ</v>
      </c>
    </row>
    <row r="569" spans="1:14" ht="43.75" x14ac:dyDescent="0.4">
      <c r="A569" s="1">
        <v>5</v>
      </c>
      <c r="B569" s="1">
        <v>37</v>
      </c>
      <c r="C569" s="1" t="s">
        <v>1228</v>
      </c>
      <c r="D569" s="1" t="s">
        <v>1</v>
      </c>
      <c r="E569" s="1" t="s">
        <v>1229</v>
      </c>
      <c r="F569" s="1" t="s">
        <v>222</v>
      </c>
      <c r="G569" s="11" t="str">
        <f>_xlfn.XLOOKUP(M569,'Code Catagories'!A:A,'Code Catagories'!C:C)</f>
        <v>4C. Commercial Model</v>
      </c>
      <c r="H569" s="1" t="s">
        <v>134</v>
      </c>
      <c r="I569" s="1" t="s">
        <v>223</v>
      </c>
      <c r="J569" s="1" t="s">
        <v>245</v>
      </c>
      <c r="K569" s="1" t="s">
        <v>141</v>
      </c>
      <c r="L569" s="10" t="s">
        <v>1230</v>
      </c>
      <c r="M569" s="11" t="str">
        <f t="shared" si="51"/>
        <v>4C</v>
      </c>
      <c r="N569" s="1" t="str">
        <f t="shared" si="53"/>
        <v>006Rg00000cYYPZIA4</v>
      </c>
    </row>
    <row r="570" spans="1:14" ht="43.75" x14ac:dyDescent="0.4">
      <c r="A570" s="1">
        <v>5</v>
      </c>
      <c r="B570" s="1">
        <v>37</v>
      </c>
      <c r="C570" s="1" t="s">
        <v>1231</v>
      </c>
      <c r="D570" s="1" t="s">
        <v>1</v>
      </c>
      <c r="E570" s="1" t="s">
        <v>831</v>
      </c>
      <c r="F570" s="1" t="s">
        <v>192</v>
      </c>
      <c r="G570" s="11" t="str">
        <f>_xlfn.XLOOKUP(M570,'Code Catagories'!A:A,'Code Catagories'!C:C)</f>
        <v>4D. Contract Mechanics</v>
      </c>
      <c r="H570" s="1" t="s">
        <v>134</v>
      </c>
      <c r="I570" s="1" t="s">
        <v>394</v>
      </c>
      <c r="J570" s="1" t="s">
        <v>245</v>
      </c>
      <c r="K570" s="1" t="s">
        <v>141</v>
      </c>
      <c r="L570" s="10" t="s">
        <v>1232</v>
      </c>
      <c r="M570" s="11" t="str">
        <f t="shared" si="51"/>
        <v>4D</v>
      </c>
      <c r="N570" s="1" t="str">
        <f t="shared" si="53"/>
        <v>006Rg00000cz0qIIAQ</v>
      </c>
    </row>
    <row r="571" spans="1:14" x14ac:dyDescent="0.4">
      <c r="A571" s="1">
        <v>5</v>
      </c>
      <c r="B571" s="1">
        <v>37</v>
      </c>
      <c r="C571" s="1" t="s">
        <v>1233</v>
      </c>
      <c r="D571" s="1" t="s">
        <v>1</v>
      </c>
      <c r="E571" s="1" t="s">
        <v>134</v>
      </c>
      <c r="F571" s="1" t="s">
        <v>134</v>
      </c>
      <c r="G571" s="11" t="e">
        <f>_xlfn.XLOOKUP(M571,'Code Catagories'!A:A,'Code Catagories'!C:C)</f>
        <v>#N/A</v>
      </c>
      <c r="H571" s="1" t="s">
        <v>134</v>
      </c>
      <c r="I571" s="1" t="s">
        <v>134</v>
      </c>
      <c r="J571" s="1" t="s">
        <v>134</v>
      </c>
      <c r="K571" s="1" t="s">
        <v>134</v>
      </c>
      <c r="L571" s="10" t="s">
        <v>135</v>
      </c>
      <c r="M571" s="11" t="str">
        <f t="shared" si="51"/>
        <v>—</v>
      </c>
      <c r="N571" s="1" t="str">
        <f t="shared" si="53"/>
        <v>006Rg00000cZ2ibIAC</v>
      </c>
    </row>
    <row r="572" spans="1:14" x14ac:dyDescent="0.4">
      <c r="A572" s="1">
        <v>5</v>
      </c>
      <c r="B572" s="1">
        <v>37</v>
      </c>
      <c r="C572" s="1" t="s">
        <v>1234</v>
      </c>
      <c r="D572" s="1" t="s">
        <v>1</v>
      </c>
      <c r="E572" s="1" t="s">
        <v>1235</v>
      </c>
      <c r="F572" s="1" t="s">
        <v>134</v>
      </c>
      <c r="G572" s="11" t="e">
        <f>_xlfn.XLOOKUP(M572,'Code Catagories'!A:A,'Code Catagories'!C:C)</f>
        <v>#N/A</v>
      </c>
      <c r="H572" s="1" t="s">
        <v>134</v>
      </c>
      <c r="I572" s="1" t="s">
        <v>134</v>
      </c>
      <c r="J572" s="1" t="s">
        <v>134</v>
      </c>
      <c r="K572" s="1" t="s">
        <v>134</v>
      </c>
      <c r="L572" s="10" t="s">
        <v>135</v>
      </c>
      <c r="M572" s="11" t="str">
        <f t="shared" si="51"/>
        <v>—</v>
      </c>
      <c r="N572" s="1" t="str">
        <f t="shared" si="53"/>
        <v>006Rg00000cz96vIAA</v>
      </c>
    </row>
    <row r="573" spans="1:14" ht="29.15" x14ac:dyDescent="0.4">
      <c r="A573" s="1">
        <v>5</v>
      </c>
      <c r="B573" s="1">
        <v>37</v>
      </c>
      <c r="C573" s="1" t="s">
        <v>1236</v>
      </c>
      <c r="D573" s="1" t="s">
        <v>1</v>
      </c>
      <c r="E573" s="1" t="s">
        <v>915</v>
      </c>
      <c r="F573" s="1" t="s">
        <v>137</v>
      </c>
      <c r="G573" s="11" t="str">
        <f>_xlfn.XLOOKUP(M573,'Code Catagories'!A:A,'Code Catagories'!C:C)</f>
        <v>4B. Ancillary Fees</v>
      </c>
      <c r="H573" s="1" t="s">
        <v>134</v>
      </c>
      <c r="I573" s="1" t="s">
        <v>139</v>
      </c>
      <c r="J573" s="1" t="s">
        <v>203</v>
      </c>
      <c r="K573" s="1" t="s">
        <v>141</v>
      </c>
      <c r="L573" s="10" t="s">
        <v>1237</v>
      </c>
      <c r="M573" s="11" t="str">
        <f t="shared" si="51"/>
        <v>4B</v>
      </c>
      <c r="N573" s="1" t="str">
        <f t="shared" si="53"/>
        <v>006Rg00000czAW1IAM</v>
      </c>
    </row>
    <row r="574" spans="1:14" x14ac:dyDescent="0.4">
      <c r="A574" s="1">
        <v>5</v>
      </c>
      <c r="B574" s="1">
        <v>37</v>
      </c>
      <c r="C574" s="1" t="s">
        <v>1238</v>
      </c>
      <c r="D574" s="1" t="s">
        <v>2</v>
      </c>
      <c r="E574" s="1" t="s">
        <v>1239</v>
      </c>
      <c r="F574" s="1" t="s">
        <v>134</v>
      </c>
      <c r="G574" s="11" t="e">
        <f>_xlfn.XLOOKUP(M574,'Code Catagories'!A:A,'Code Catagories'!C:C)</f>
        <v>#N/A</v>
      </c>
      <c r="H574" s="1" t="s">
        <v>134</v>
      </c>
      <c r="I574" s="1" t="s">
        <v>134</v>
      </c>
      <c r="J574" s="1" t="s">
        <v>134</v>
      </c>
      <c r="K574" s="1" t="s">
        <v>134</v>
      </c>
      <c r="L574" s="10" t="s">
        <v>135</v>
      </c>
      <c r="M574" s="11" t="str">
        <f t="shared" si="51"/>
        <v>—</v>
      </c>
      <c r="N574" s="1" t="str">
        <f t="shared" si="53"/>
        <v>006Rg00000czDP3IAM</v>
      </c>
    </row>
    <row r="575" spans="1:14" ht="43.75" x14ac:dyDescent="0.4">
      <c r="A575" s="1">
        <v>5</v>
      </c>
      <c r="B575" s="1">
        <v>37</v>
      </c>
      <c r="C575" s="1" t="s">
        <v>1240</v>
      </c>
      <c r="D575" s="1" t="s">
        <v>1</v>
      </c>
      <c r="E575" s="1" t="s">
        <v>134</v>
      </c>
      <c r="F575" s="1" t="s">
        <v>166</v>
      </c>
      <c r="G575" s="11" t="str">
        <f>_xlfn.XLOOKUP(M575,'Code Catagories'!A:A,'Code Catagories'!C:C)</f>
        <v>4F. Promotion Ineligibility</v>
      </c>
      <c r="H575" s="1" t="s">
        <v>134</v>
      </c>
      <c r="I575" s="1" t="s">
        <v>239</v>
      </c>
      <c r="J575" s="1" t="s">
        <v>203</v>
      </c>
      <c r="K575" s="1" t="s">
        <v>141</v>
      </c>
      <c r="L575" s="10" t="s">
        <v>1241</v>
      </c>
      <c r="M575" s="11" t="str">
        <f t="shared" si="51"/>
        <v>4F</v>
      </c>
      <c r="N575" s="1" t="str">
        <f t="shared" si="53"/>
        <v>006Rg00000czFsIIAU</v>
      </c>
    </row>
    <row r="576" spans="1:14" ht="29.15" x14ac:dyDescent="0.4">
      <c r="A576" s="1">
        <v>5</v>
      </c>
      <c r="B576" s="1">
        <v>37</v>
      </c>
      <c r="C576" s="1" t="s">
        <v>1242</v>
      </c>
      <c r="D576" s="1" t="s">
        <v>1</v>
      </c>
      <c r="E576" s="1" t="s">
        <v>706</v>
      </c>
      <c r="F576" s="1" t="s">
        <v>137</v>
      </c>
      <c r="G576" s="11" t="str">
        <f>_xlfn.XLOOKUP(M576,'Code Catagories'!A:A,'Code Catagories'!C:C)</f>
        <v>4B. Ancillary Fees</v>
      </c>
      <c r="H576" s="1" t="s">
        <v>138</v>
      </c>
      <c r="I576" s="1" t="s">
        <v>514</v>
      </c>
      <c r="J576" s="1" t="s">
        <v>147</v>
      </c>
      <c r="K576" s="1" t="s">
        <v>148</v>
      </c>
      <c r="L576" s="10" t="s">
        <v>1243</v>
      </c>
      <c r="M576" s="11" t="str">
        <f t="shared" si="51"/>
        <v>4B</v>
      </c>
      <c r="N576" s="1" t="str">
        <f t="shared" si="53"/>
        <v>006Rg00000czhVCIAY</v>
      </c>
    </row>
    <row r="577" spans="1:14" ht="29.15" x14ac:dyDescent="0.4">
      <c r="A577" s="1">
        <v>5</v>
      </c>
      <c r="B577" s="1">
        <v>37</v>
      </c>
      <c r="C577" s="1" t="s">
        <v>1242</v>
      </c>
      <c r="D577" s="1" t="s">
        <v>1</v>
      </c>
      <c r="E577" s="1" t="s">
        <v>706</v>
      </c>
      <c r="F577" s="1" t="s">
        <v>166</v>
      </c>
      <c r="G577" s="11" t="str">
        <f>_xlfn.XLOOKUP(M577,'Code Catagories'!A:A,'Code Catagories'!C:C)</f>
        <v>4F. Promotion Ineligibility</v>
      </c>
      <c r="H577" s="1" t="s">
        <v>134</v>
      </c>
      <c r="I577" s="1" t="s">
        <v>239</v>
      </c>
      <c r="J577" s="1" t="s">
        <v>203</v>
      </c>
      <c r="K577" s="1" t="s">
        <v>141</v>
      </c>
      <c r="L577" s="10" t="s">
        <v>1244</v>
      </c>
      <c r="M577" s="11" t="str">
        <f t="shared" si="51"/>
        <v>4F</v>
      </c>
      <c r="N577" s="1" t="str">
        <f t="shared" si="53"/>
        <v>006Rg00000czhVCIAY</v>
      </c>
    </row>
    <row r="578" spans="1:14" x14ac:dyDescent="0.4">
      <c r="A578" s="1">
        <v>5</v>
      </c>
      <c r="B578" s="1">
        <v>37</v>
      </c>
      <c r="C578" s="1" t="s">
        <v>1245</v>
      </c>
      <c r="D578" s="1" t="s">
        <v>2</v>
      </c>
      <c r="E578" s="1" t="s">
        <v>1004</v>
      </c>
      <c r="F578" s="1" t="s">
        <v>134</v>
      </c>
      <c r="G578" s="11" t="e">
        <f>_xlfn.XLOOKUP(M578,'Code Catagories'!A:A,'Code Catagories'!C:C)</f>
        <v>#N/A</v>
      </c>
      <c r="H578" s="1" t="s">
        <v>134</v>
      </c>
      <c r="I578" s="1" t="s">
        <v>134</v>
      </c>
      <c r="J578" s="1" t="s">
        <v>134</v>
      </c>
      <c r="K578" s="1" t="s">
        <v>134</v>
      </c>
      <c r="L578" s="10" t="s">
        <v>135</v>
      </c>
      <c r="M578" s="11" t="str">
        <f t="shared" si="51"/>
        <v>—</v>
      </c>
      <c r="N578" s="1" t="str">
        <f t="shared" si="53"/>
        <v>006Rg00000czizAIAQ</v>
      </c>
    </row>
    <row r="579" spans="1:14" x14ac:dyDescent="0.4">
      <c r="A579" s="1">
        <v>5</v>
      </c>
      <c r="B579" s="1">
        <v>37</v>
      </c>
      <c r="C579" s="1" t="s">
        <v>1246</v>
      </c>
      <c r="D579" s="1" t="s">
        <v>1</v>
      </c>
      <c r="E579" s="1" t="s">
        <v>1247</v>
      </c>
      <c r="F579" s="1" t="s">
        <v>134</v>
      </c>
      <c r="G579" s="11" t="e">
        <f>_xlfn.XLOOKUP(M579,'Code Catagories'!A:A,'Code Catagories'!C:C)</f>
        <v>#N/A</v>
      </c>
      <c r="H579" s="1" t="s">
        <v>134</v>
      </c>
      <c r="I579" s="1" t="s">
        <v>134</v>
      </c>
      <c r="J579" s="1" t="s">
        <v>134</v>
      </c>
      <c r="K579" s="1" t="s">
        <v>134</v>
      </c>
      <c r="L579" s="10" t="s">
        <v>135</v>
      </c>
      <c r="M579" s="11" t="str">
        <f t="shared" si="51"/>
        <v>—</v>
      </c>
      <c r="N579" s="1" t="str">
        <f t="shared" si="53"/>
        <v>006Rg00000czj5bIAA</v>
      </c>
    </row>
    <row r="580" spans="1:14" x14ac:dyDescent="0.4">
      <c r="A580" s="1">
        <v>5</v>
      </c>
      <c r="B580" s="1">
        <v>37</v>
      </c>
      <c r="C580" s="1" t="s">
        <v>1248</v>
      </c>
      <c r="D580" s="1" t="s">
        <v>2</v>
      </c>
      <c r="E580" s="1" t="s">
        <v>467</v>
      </c>
      <c r="F580" s="1" t="s">
        <v>134</v>
      </c>
      <c r="G580" s="11" t="e">
        <f>_xlfn.XLOOKUP(M580,'Code Catagories'!A:A,'Code Catagories'!C:C)</f>
        <v>#N/A</v>
      </c>
      <c r="H580" s="1" t="s">
        <v>134</v>
      </c>
      <c r="I580" s="1" t="s">
        <v>134</v>
      </c>
      <c r="J580" s="1" t="s">
        <v>134</v>
      </c>
      <c r="K580" s="1" t="s">
        <v>134</v>
      </c>
      <c r="L580" s="10" t="s">
        <v>135</v>
      </c>
      <c r="M580" s="11" t="str">
        <f t="shared" si="51"/>
        <v>—</v>
      </c>
      <c r="N580" s="1" t="str">
        <f t="shared" si="53"/>
        <v>006Rg00000czMNVIA2</v>
      </c>
    </row>
  </sheetData>
  <autoFilter ref="B1:N580" xr:uid="{C99ED847-2C44-41F2-A397-66951859E6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EB39-3EDF-489E-99F9-46E0BB2D0B68}">
  <dimension ref="F5:J67"/>
  <sheetViews>
    <sheetView workbookViewId="0">
      <selection activeCell="J6" sqref="J6:J99"/>
    </sheetView>
  </sheetViews>
  <sheetFormatPr defaultRowHeight="14.6" x14ac:dyDescent="0.4"/>
  <sheetData>
    <row r="5" spans="6:10" x14ac:dyDescent="0.4">
      <c r="F5" t="s">
        <v>17</v>
      </c>
    </row>
    <row r="6" spans="6:10" x14ac:dyDescent="0.4">
      <c r="F6" t="s">
        <v>18</v>
      </c>
      <c r="J6" t="s">
        <v>22</v>
      </c>
    </row>
    <row r="7" spans="6:10" x14ac:dyDescent="0.4">
      <c r="F7" t="s">
        <v>19</v>
      </c>
      <c r="J7" t="s">
        <v>25</v>
      </c>
    </row>
    <row r="8" spans="6:10" x14ac:dyDescent="0.4">
      <c r="F8" t="s">
        <v>20</v>
      </c>
      <c r="J8" t="s">
        <v>27</v>
      </c>
    </row>
    <row r="9" spans="6:10" x14ac:dyDescent="0.4">
      <c r="F9" t="s">
        <v>21</v>
      </c>
      <c r="J9" t="s">
        <v>29</v>
      </c>
    </row>
    <row r="10" spans="6:10" x14ac:dyDescent="0.4">
      <c r="F10" t="s">
        <v>23</v>
      </c>
      <c r="J10" t="s">
        <v>30</v>
      </c>
    </row>
    <row r="11" spans="6:10" x14ac:dyDescent="0.4">
      <c r="F11" t="s">
        <v>24</v>
      </c>
      <c r="J11" t="s">
        <v>31</v>
      </c>
    </row>
    <row r="12" spans="6:10" x14ac:dyDescent="0.4">
      <c r="F12" t="s">
        <v>26</v>
      </c>
      <c r="J12" t="s">
        <v>32</v>
      </c>
    </row>
    <row r="13" spans="6:10" x14ac:dyDescent="0.4">
      <c r="F13" t="s">
        <v>28</v>
      </c>
      <c r="J13" t="s">
        <v>35</v>
      </c>
    </row>
    <row r="14" spans="6:10" x14ac:dyDescent="0.4">
      <c r="F14" t="s">
        <v>33</v>
      </c>
      <c r="J14" t="s">
        <v>38</v>
      </c>
    </row>
    <row r="15" spans="6:10" x14ac:dyDescent="0.4">
      <c r="F15" t="s">
        <v>34</v>
      </c>
      <c r="J15" t="s">
        <v>39</v>
      </c>
    </row>
    <row r="16" spans="6:10" x14ac:dyDescent="0.4">
      <c r="F16" t="s">
        <v>36</v>
      </c>
      <c r="J16" t="s">
        <v>40</v>
      </c>
    </row>
    <row r="17" spans="6:10" x14ac:dyDescent="0.4">
      <c r="F17" t="s">
        <v>37</v>
      </c>
      <c r="J17" t="s">
        <v>45</v>
      </c>
    </row>
    <row r="18" spans="6:10" x14ac:dyDescent="0.4">
      <c r="F18" t="s">
        <v>41</v>
      </c>
      <c r="J18" t="s">
        <v>47</v>
      </c>
    </row>
    <row r="19" spans="6:10" x14ac:dyDescent="0.4">
      <c r="F19" t="s">
        <v>42</v>
      </c>
      <c r="J19" t="s">
        <v>48</v>
      </c>
    </row>
    <row r="20" spans="6:10" x14ac:dyDescent="0.4">
      <c r="F20" t="s">
        <v>43</v>
      </c>
      <c r="J20" t="s">
        <v>53</v>
      </c>
    </row>
    <row r="21" spans="6:10" x14ac:dyDescent="0.4">
      <c r="F21" t="s">
        <v>44</v>
      </c>
      <c r="J21" t="s">
        <v>56</v>
      </c>
    </row>
    <row r="22" spans="6:10" x14ac:dyDescent="0.4">
      <c r="F22" t="s">
        <v>46</v>
      </c>
      <c r="J22" t="s">
        <v>57</v>
      </c>
    </row>
    <row r="23" spans="6:10" x14ac:dyDescent="0.4">
      <c r="F23" t="s">
        <v>49</v>
      </c>
      <c r="J23" t="s">
        <v>59</v>
      </c>
    </row>
    <row r="24" spans="6:10" x14ac:dyDescent="0.4">
      <c r="F24" t="s">
        <v>50</v>
      </c>
      <c r="J24" t="s">
        <v>61</v>
      </c>
    </row>
    <row r="25" spans="6:10" x14ac:dyDescent="0.4">
      <c r="F25" t="s">
        <v>51</v>
      </c>
      <c r="J25" t="s">
        <v>64</v>
      </c>
    </row>
    <row r="26" spans="6:10" x14ac:dyDescent="0.4">
      <c r="F26" t="s">
        <v>52</v>
      </c>
      <c r="J26" t="s">
        <v>65</v>
      </c>
    </row>
    <row r="27" spans="6:10" x14ac:dyDescent="0.4">
      <c r="F27" t="s">
        <v>54</v>
      </c>
      <c r="J27" t="s">
        <v>68</v>
      </c>
    </row>
    <row r="28" spans="6:10" x14ac:dyDescent="0.4">
      <c r="F28" t="s">
        <v>55</v>
      </c>
      <c r="J28" t="s">
        <v>70</v>
      </c>
    </row>
    <row r="29" spans="6:10" x14ac:dyDescent="0.4">
      <c r="F29" t="s">
        <v>58</v>
      </c>
      <c r="J29" t="s">
        <v>71</v>
      </c>
    </row>
    <row r="30" spans="6:10" x14ac:dyDescent="0.4">
      <c r="F30" t="s">
        <v>60</v>
      </c>
      <c r="J30" t="s">
        <v>72</v>
      </c>
    </row>
    <row r="31" spans="6:10" x14ac:dyDescent="0.4">
      <c r="F31" t="s">
        <v>62</v>
      </c>
      <c r="J31" t="s">
        <v>73</v>
      </c>
    </row>
    <row r="32" spans="6:10" x14ac:dyDescent="0.4">
      <c r="F32" t="s">
        <v>63</v>
      </c>
      <c r="J32" t="s">
        <v>75</v>
      </c>
    </row>
    <row r="33" spans="6:10" x14ac:dyDescent="0.4">
      <c r="F33" t="s">
        <v>66</v>
      </c>
      <c r="J33" t="s">
        <v>76</v>
      </c>
    </row>
    <row r="34" spans="6:10" x14ac:dyDescent="0.4">
      <c r="F34" t="s">
        <v>67</v>
      </c>
      <c r="J34" t="s">
        <v>77</v>
      </c>
    </row>
    <row r="35" spans="6:10" x14ac:dyDescent="0.4">
      <c r="F35" t="s">
        <v>69</v>
      </c>
      <c r="J35" t="s">
        <v>78</v>
      </c>
    </row>
    <row r="36" spans="6:10" x14ac:dyDescent="0.4">
      <c r="F36" t="s">
        <v>74</v>
      </c>
      <c r="J36" t="s">
        <v>80</v>
      </c>
    </row>
    <row r="37" spans="6:10" x14ac:dyDescent="0.4">
      <c r="F37" t="s">
        <v>79</v>
      </c>
      <c r="J37" t="s">
        <v>87</v>
      </c>
    </row>
    <row r="38" spans="6:10" x14ac:dyDescent="0.4">
      <c r="F38" t="s">
        <v>81</v>
      </c>
      <c r="J38" t="s">
        <v>92</v>
      </c>
    </row>
    <row r="39" spans="6:10" x14ac:dyDescent="0.4">
      <c r="F39" t="s">
        <v>82</v>
      </c>
      <c r="J39" t="s">
        <v>93</v>
      </c>
    </row>
    <row r="40" spans="6:10" x14ac:dyDescent="0.4">
      <c r="F40" t="s">
        <v>83</v>
      </c>
      <c r="J40" t="s">
        <v>96</v>
      </c>
    </row>
    <row r="41" spans="6:10" x14ac:dyDescent="0.4">
      <c r="F41" t="s">
        <v>84</v>
      </c>
      <c r="J41" t="s">
        <v>97</v>
      </c>
    </row>
    <row r="42" spans="6:10" x14ac:dyDescent="0.4">
      <c r="F42" t="s">
        <v>85</v>
      </c>
      <c r="J42" t="s">
        <v>98</v>
      </c>
    </row>
    <row r="43" spans="6:10" x14ac:dyDescent="0.4">
      <c r="F43" t="s">
        <v>86</v>
      </c>
      <c r="J43" t="s">
        <v>101</v>
      </c>
    </row>
    <row r="44" spans="6:10" x14ac:dyDescent="0.4">
      <c r="F44" t="s">
        <v>88</v>
      </c>
      <c r="J44" t="s">
        <v>103</v>
      </c>
    </row>
    <row r="45" spans="6:10" x14ac:dyDescent="0.4">
      <c r="F45" t="s">
        <v>89</v>
      </c>
      <c r="J45" t="s">
        <v>109</v>
      </c>
    </row>
    <row r="46" spans="6:10" x14ac:dyDescent="0.4">
      <c r="F46" t="s">
        <v>90</v>
      </c>
      <c r="J46" t="s">
        <v>113</v>
      </c>
    </row>
    <row r="47" spans="6:10" x14ac:dyDescent="0.4">
      <c r="F47" t="s">
        <v>91</v>
      </c>
      <c r="J47" t="s">
        <v>115</v>
      </c>
    </row>
    <row r="48" spans="6:10" x14ac:dyDescent="0.4">
      <c r="F48" t="s">
        <v>94</v>
      </c>
      <c r="J48" t="s">
        <v>117</v>
      </c>
    </row>
    <row r="49" spans="6:6" x14ac:dyDescent="0.4">
      <c r="F49" t="s">
        <v>95</v>
      </c>
    </row>
    <row r="50" spans="6:6" x14ac:dyDescent="0.4">
      <c r="F50" t="s">
        <v>99</v>
      </c>
    </row>
    <row r="51" spans="6:6" x14ac:dyDescent="0.4">
      <c r="F51" t="s">
        <v>100</v>
      </c>
    </row>
    <row r="52" spans="6:6" x14ac:dyDescent="0.4">
      <c r="F52" t="s">
        <v>102</v>
      </c>
    </row>
    <row r="53" spans="6:6" x14ac:dyDescent="0.4">
      <c r="F53" t="s">
        <v>104</v>
      </c>
    </row>
    <row r="54" spans="6:6" x14ac:dyDescent="0.4">
      <c r="F54" t="s">
        <v>105</v>
      </c>
    </row>
    <row r="55" spans="6:6" x14ac:dyDescent="0.4">
      <c r="F55" t="s">
        <v>106</v>
      </c>
    </row>
    <row r="56" spans="6:6" x14ac:dyDescent="0.4">
      <c r="F56" t="s">
        <v>107</v>
      </c>
    </row>
    <row r="57" spans="6:6" x14ac:dyDescent="0.4">
      <c r="F57" t="s">
        <v>108</v>
      </c>
    </row>
    <row r="58" spans="6:6" x14ac:dyDescent="0.4">
      <c r="F58" t="s">
        <v>110</v>
      </c>
    </row>
    <row r="59" spans="6:6" x14ac:dyDescent="0.4">
      <c r="F59" t="s">
        <v>111</v>
      </c>
    </row>
    <row r="60" spans="6:6" x14ac:dyDescent="0.4">
      <c r="F60" t="s">
        <v>112</v>
      </c>
    </row>
    <row r="61" spans="6:6" x14ac:dyDescent="0.4">
      <c r="F61" t="s">
        <v>114</v>
      </c>
    </row>
    <row r="62" spans="6:6" x14ac:dyDescent="0.4">
      <c r="F62" t="s">
        <v>116</v>
      </c>
    </row>
    <row r="63" spans="6:6" x14ac:dyDescent="0.4">
      <c r="F63" t="s">
        <v>118</v>
      </c>
    </row>
    <row r="64" spans="6:6" x14ac:dyDescent="0.4">
      <c r="F64" t="s">
        <v>119</v>
      </c>
    </row>
    <row r="65" spans="6:6" x14ac:dyDescent="0.4">
      <c r="F65" t="s">
        <v>120</v>
      </c>
    </row>
    <row r="66" spans="6:6" x14ac:dyDescent="0.4">
      <c r="F66" t="s">
        <v>121</v>
      </c>
    </row>
    <row r="67" spans="6:6" x14ac:dyDescent="0.4">
      <c r="F67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5A82-EBD6-4BB0-AEB8-AE8816461D67}">
  <dimension ref="A1:D7"/>
  <sheetViews>
    <sheetView zoomScale="77" workbookViewId="0">
      <selection activeCell="C10" sqref="C10"/>
    </sheetView>
  </sheetViews>
  <sheetFormatPr defaultRowHeight="14.6" x14ac:dyDescent="0.4"/>
  <cols>
    <col min="1" max="1" width="5.15234375" style="1" bestFit="1" customWidth="1"/>
    <col min="2" max="2" width="22.15234375" style="1" bestFit="1" customWidth="1"/>
    <col min="3" max="3" width="41.84375" style="6" customWidth="1"/>
    <col min="4" max="4" width="112.15234375" style="7" customWidth="1"/>
    <col min="5" max="5" width="35.15234375" customWidth="1"/>
  </cols>
  <sheetData>
    <row r="1" spans="1:4" x14ac:dyDescent="0.4">
      <c r="A1" s="2" t="s">
        <v>7</v>
      </c>
      <c r="B1" s="2" t="s">
        <v>8</v>
      </c>
      <c r="C1" s="5" t="s">
        <v>9</v>
      </c>
      <c r="D1" s="3" t="s">
        <v>124</v>
      </c>
    </row>
    <row r="2" spans="1:4" x14ac:dyDescent="0.4">
      <c r="A2" s="1" t="s">
        <v>13</v>
      </c>
      <c r="B2" s="1" t="s">
        <v>3</v>
      </c>
      <c r="C2" s="6" t="s">
        <v>346</v>
      </c>
      <c r="D2" s="7" t="s">
        <v>125</v>
      </c>
    </row>
    <row r="3" spans="1:4" ht="29.15" x14ac:dyDescent="0.4">
      <c r="A3" s="1" t="s">
        <v>11</v>
      </c>
      <c r="B3" s="1" t="s">
        <v>3</v>
      </c>
      <c r="C3" s="6" t="s">
        <v>4</v>
      </c>
      <c r="D3" s="7" t="s">
        <v>126</v>
      </c>
    </row>
    <row r="4" spans="1:4" x14ac:dyDescent="0.4">
      <c r="A4" s="1" t="s">
        <v>12</v>
      </c>
      <c r="B4" s="1" t="s">
        <v>3</v>
      </c>
      <c r="C4" s="6" t="s">
        <v>347</v>
      </c>
      <c r="D4" s="7" t="s">
        <v>127</v>
      </c>
    </row>
    <row r="5" spans="1:4" x14ac:dyDescent="0.4">
      <c r="A5" s="1" t="s">
        <v>348</v>
      </c>
      <c r="B5" s="1" t="s">
        <v>3</v>
      </c>
      <c r="C5" s="6" t="s">
        <v>349</v>
      </c>
      <c r="D5" s="7" t="s">
        <v>128</v>
      </c>
    </row>
    <row r="6" spans="1:4" ht="29.15" x14ac:dyDescent="0.4">
      <c r="A6" s="1" t="s">
        <v>15</v>
      </c>
      <c r="B6" s="1" t="s">
        <v>3</v>
      </c>
      <c r="C6" s="6" t="s">
        <v>350</v>
      </c>
      <c r="D6" s="7" t="s">
        <v>130</v>
      </c>
    </row>
    <row r="7" spans="1:4" ht="29.15" x14ac:dyDescent="0.4">
      <c r="A7" s="1" t="s">
        <v>14</v>
      </c>
      <c r="B7" s="1" t="s">
        <v>3</v>
      </c>
      <c r="C7" s="6" t="s">
        <v>5</v>
      </c>
      <c r="D7" s="7" t="s">
        <v>129</v>
      </c>
    </row>
  </sheetData>
  <autoFilter ref="A1:D7" xr:uid="{C48D8386-7DBA-4AA7-99E6-1A7AD80920A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9db925c-0366-464f-b520-8952c3f9517a">
      <Terms xmlns="http://schemas.microsoft.com/office/infopath/2007/PartnerControls"/>
    </lcf76f155ced4ddcb4097134ff3c332f>
    <TaxCatchAll xmlns="465e85b0-2dca-4f91-be87-373a28f454a2" xsi:nil="true"/>
    <_dlc_DocId xmlns="465e85b0-2dca-4f91-be87-373a28f454a2">5PTJJSXZ6JW7-871334852-21182</_dlc_DocId>
    <_dlc_DocIdUrl xmlns="465e85b0-2dca-4f91-be87-373a28f454a2">
      <Url>https://superiorplus.sharepoint.com/sites/SuperiorShareDocs/_layouts/15/DocIdRedir.aspx?ID=5PTJJSXZ6JW7-871334852-21182</Url>
      <Description>5PTJJSXZ6JW7-871334852-21182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7C5BD8B09394E8AA62EF36B926EF8" ma:contentTypeVersion="17" ma:contentTypeDescription="Create a new document." ma:contentTypeScope="" ma:versionID="00077d8874c88bcf2ac3da56472b2e6a">
  <xsd:schema xmlns:xsd="http://www.w3.org/2001/XMLSchema" xmlns:xs="http://www.w3.org/2001/XMLSchema" xmlns:p="http://schemas.microsoft.com/office/2006/metadata/properties" xmlns:ns1="http://schemas.microsoft.com/sharepoint/v3" xmlns:ns2="465e85b0-2dca-4f91-be87-373a28f454a2" xmlns:ns3="29db925c-0366-464f-b520-8952c3f9517a" targetNamespace="http://schemas.microsoft.com/office/2006/metadata/properties" ma:root="true" ma:fieldsID="84046a19d86ea02ec726e99a684bd4eb" ns1:_="" ns2:_="" ns3:_="">
    <xsd:import namespace="http://schemas.microsoft.com/sharepoint/v3"/>
    <xsd:import namespace="465e85b0-2dca-4f91-be87-373a28f454a2"/>
    <xsd:import namespace="29db925c-0366-464f-b520-8952c3f9517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e85b0-2dca-4f91-be87-373a28f454a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0850500-4254-4673-995f-c8f234497ee5}" ma:internalName="TaxCatchAll" ma:showField="CatchAllData" ma:web="465e85b0-2dca-4f91-be87-373a28f45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b925c-0366-464f-b520-8952c3f95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bb36eb9-4c44-4ceb-9150-8afc3a41f8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B2E78AF-6391-4EA0-B2D0-F4D06F196F5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2a524da-d615-46c8-8e98-166bc86bfa43"/>
    <ds:schemaRef ds:uri="4ce4028f-10b2-417c-90ee-3303926341f4"/>
  </ds:schemaRefs>
</ds:datastoreItem>
</file>

<file path=customXml/itemProps2.xml><?xml version="1.0" encoding="utf-8"?>
<ds:datastoreItem xmlns:ds="http://schemas.openxmlformats.org/officeDocument/2006/customXml" ds:itemID="{92AA2B8C-2325-4B87-9B7E-6C0624CC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C06731-43A3-4427-8E9D-67493282F6CE}"/>
</file>

<file path=customXml/itemProps4.xml><?xml version="1.0" encoding="utf-8"?>
<ds:datastoreItem xmlns:ds="http://schemas.openxmlformats.org/officeDocument/2006/customXml" ds:itemID="{A53CB443-81F5-445B-A504-7D2626D7FF70}"/>
</file>

<file path=docMetadata/LabelInfo.xml><?xml version="1.0" encoding="utf-8"?>
<clbl:labelList xmlns:clbl="http://schemas.microsoft.com/office/2020/mipLabelMetadata">
  <clbl:label id="{af0fa39c-9170-43bb-aa72-0c1d89d4693c}" enabled="1" method="Standard" siteId="{cb4a43d0-f4a3-4cf2-bb4c-9312329572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Summary</vt:lpstr>
      <vt:lpstr>AI Output</vt:lpstr>
      <vt:lpstr>Backup-&gt;</vt:lpstr>
      <vt:lpstr>Code Catagories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Bhamidipati, Abhi</dc:creator>
  <cp:keywords/>
  <dc:description/>
  <cp:lastModifiedBy>Bhamidipati, Abhi</cp:lastModifiedBy>
  <cp:revision/>
  <dcterms:created xsi:type="dcterms:W3CDTF">2026-07-11T18:56:16Z</dcterms:created>
  <dcterms:modified xsi:type="dcterms:W3CDTF">2026-08-10T21:44:40Z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0x0101008E87C5BD8B09394E8AA62EF36B926EF8</vt:lpwstr>
  </property>
  <property fmtid="{D5CDD505-2E9C-101B-9397-08002B2CF9AE}" pid="3" name="MediaServiceImageTags">
    <vt:lpwstr/>
  </property>
  <property fmtid="{D5CDD505-2E9C-101B-9397-08002B2CF9AE}" pid="4" name="_dlc_DocIdItemGuid">
    <vt:lpwstr>b44edc91-6716-400c-9d23-59c6661da3fe</vt:lpwstr>
  </property>
</Properties>
</file>